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natha\Desktop\Bike Sales Performances\"/>
    </mc:Choice>
  </mc:AlternateContent>
  <xr:revisionPtr revIDLastSave="0" documentId="13_ncr:1_{05CF68B2-E482-4E2F-9FBD-E785BD294CB3}" xr6:coauthVersionLast="47" xr6:coauthVersionMax="47" xr10:uidLastSave="{00000000-0000-0000-0000-000000000000}"/>
  <bookViews>
    <workbookView xWindow="-108" yWindow="-108" windowWidth="23256" windowHeight="12456" activeTab="3" xr2:uid="{8C3DBB99-B2EE-4413-85D5-2D37E0B93287}"/>
  </bookViews>
  <sheets>
    <sheet name="Sale of Bike" sheetId="2" r:id="rId1"/>
    <sheet name="Working Sheet" sheetId="3" r:id="rId2"/>
    <sheet name="Pivot_Table" sheetId="4" r:id="rId3"/>
    <sheet name="DASHBOARD" sheetId="5" r:id="rId4"/>
  </sheets>
  <definedNames>
    <definedName name="ExternalData_1" localSheetId="0" hidden="1">'Sale of Bike'!$A$1:$M$51</definedName>
    <definedName name="ExternalData_1" localSheetId="1" hidden="1">'Working Sheet'!$A$1:$N$51</definedName>
    <definedName name="Slicer_Education">#N/A</definedName>
    <definedName name="Slicer_Mariti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6442B3-EE0C-465F-99B5-E740FA43100A}" keepAlive="1" name="Query - Sale of Bike" description="Connection to the 'Sale of Bike' query in the workbook." type="5" refreshedVersion="8" background="1" saveData="1">
    <dbPr connection="Provider=Microsoft.Mashup.OleDb.1;Data Source=$Workbook$;Location=&quot;Sale of Bike&quot;;Extended Properties=&quot;&quot;" command="SELECT * FROM [Sale of Bike]"/>
  </connection>
  <connection id="2" xr16:uid="{ED23D602-A21B-4370-9073-41181C7D88B9}" keepAlive="1" name="Query - Sale of Bike (2)" description="Connection to the 'Sale of Bike (2)' query in the workbook." type="5" refreshedVersion="8" background="1" saveData="1">
    <dbPr connection="Provider=Microsoft.Mashup.OleDb.1;Data Source=$Workbook$;Location=&quot;Sale of Bike (2)&quot;;Extended Properties=&quot;&quot;" command="SELECT * FROM [Sale of Bike (2)]"/>
  </connection>
</connections>
</file>

<file path=xl/sharedStrings.xml><?xml version="1.0" encoding="utf-8"?>
<sst xmlns="http://schemas.openxmlformats.org/spreadsheetml/2006/main" count="866" uniqueCount="53">
  <si>
    <t>ID</t>
  </si>
  <si>
    <t>M</t>
  </si>
  <si>
    <t>S</t>
  </si>
  <si>
    <t xml:space="preserve">Maritial Status </t>
  </si>
  <si>
    <t>Gender</t>
  </si>
  <si>
    <t>F</t>
  </si>
  <si>
    <t>Income</t>
  </si>
  <si>
    <t>Children</t>
  </si>
  <si>
    <t>Education</t>
  </si>
  <si>
    <t>Bachelors</t>
  </si>
  <si>
    <t>High School</t>
  </si>
  <si>
    <t>Occupation</t>
  </si>
  <si>
    <t>Skilled Manual</t>
  </si>
  <si>
    <t xml:space="preserve">Partial College </t>
  </si>
  <si>
    <t>Partial College</t>
  </si>
  <si>
    <t>Clerical</t>
  </si>
  <si>
    <t>Professional</t>
  </si>
  <si>
    <t>Management</t>
  </si>
  <si>
    <t>Home Owner</t>
  </si>
  <si>
    <t>NO</t>
  </si>
  <si>
    <t>Car</t>
  </si>
  <si>
    <t>Commute Distance</t>
  </si>
  <si>
    <t>0-1 Miles</t>
  </si>
  <si>
    <t>2-5 Miles</t>
  </si>
  <si>
    <t>5-10 Miles</t>
  </si>
  <si>
    <t>1-2 Miles</t>
  </si>
  <si>
    <t>10+ Miles</t>
  </si>
  <si>
    <t>Region</t>
  </si>
  <si>
    <t>Europe</t>
  </si>
  <si>
    <t>Pacific</t>
  </si>
  <si>
    <t>Age</t>
  </si>
  <si>
    <t>Purcharged Bike</t>
  </si>
  <si>
    <t>YES</t>
  </si>
  <si>
    <t>Single</t>
  </si>
  <si>
    <t>Married</t>
  </si>
  <si>
    <t>Male</t>
  </si>
  <si>
    <t>Female</t>
  </si>
  <si>
    <t>Age Group</t>
  </si>
  <si>
    <t>Maritial Status</t>
  </si>
  <si>
    <t>Average of Income</t>
  </si>
  <si>
    <t>Row Labels</t>
  </si>
  <si>
    <t>Grand Total</t>
  </si>
  <si>
    <t>Column Labels</t>
  </si>
  <si>
    <t>Bike Purchage</t>
  </si>
  <si>
    <t>Adolescent</t>
  </si>
  <si>
    <t>Middle Age</t>
  </si>
  <si>
    <t>Old Age</t>
  </si>
  <si>
    <t>Count of Purcharged Bike</t>
  </si>
  <si>
    <t>More than 10 Miles</t>
  </si>
  <si>
    <t>Sum of Income</t>
  </si>
  <si>
    <t>Total</t>
  </si>
  <si>
    <t>Highest Income</t>
  </si>
  <si>
    <t>Lowest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</si>
</sst>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164"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2">
    <cellStyle name="Currency" xfId="1" builtinId="4"/>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Performances.xlsx]Pivot_Table!PivotTable6</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baseline="0">
                <a:solidFill>
                  <a:schemeClr val="bg1"/>
                </a:solidFill>
              </a:rPr>
              <a:t>Bike Purcharge By Age Group</a:t>
            </a:r>
            <a:endParaRPr lang="en-US" sz="1800"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Pivot_Table!$B$19:$B$20</c:f>
              <c:strCache>
                <c:ptCount val="1"/>
                <c:pt idx="0">
                  <c:v>NO</c:v>
                </c:pt>
              </c:strCache>
            </c:strRef>
          </c:tx>
          <c:spPr>
            <a:ln w="28575" cap="rnd">
              <a:solidFill>
                <a:schemeClr val="accent1"/>
              </a:solidFill>
              <a:round/>
            </a:ln>
            <a:effectLst/>
          </c:spPr>
          <c:marker>
            <c:symbol val="none"/>
          </c:marker>
          <c:cat>
            <c:strRef>
              <c:f>Pivot_Table!$A$21:$A$24</c:f>
              <c:strCache>
                <c:ptCount val="3"/>
                <c:pt idx="0">
                  <c:v>Adolescent</c:v>
                </c:pt>
                <c:pt idx="1">
                  <c:v>Middle Age</c:v>
                </c:pt>
                <c:pt idx="2">
                  <c:v>Old Age</c:v>
                </c:pt>
              </c:strCache>
            </c:strRef>
          </c:cat>
          <c:val>
            <c:numRef>
              <c:f>Pivot_Table!$B$21:$B$24</c:f>
              <c:numCache>
                <c:formatCode>General</c:formatCode>
                <c:ptCount val="3"/>
                <c:pt idx="0">
                  <c:v>11</c:v>
                </c:pt>
                <c:pt idx="1">
                  <c:v>15</c:v>
                </c:pt>
                <c:pt idx="2">
                  <c:v>1</c:v>
                </c:pt>
              </c:numCache>
            </c:numRef>
          </c:val>
          <c:smooth val="0"/>
          <c:extLst>
            <c:ext xmlns:c16="http://schemas.microsoft.com/office/drawing/2014/chart" uri="{C3380CC4-5D6E-409C-BE32-E72D297353CC}">
              <c16:uniqueId val="{00000000-0DC7-46F5-B6EE-49EFAE71F37D}"/>
            </c:ext>
          </c:extLst>
        </c:ser>
        <c:ser>
          <c:idx val="1"/>
          <c:order val="1"/>
          <c:tx>
            <c:strRef>
              <c:f>Pivot_Table!$C$19:$C$20</c:f>
              <c:strCache>
                <c:ptCount val="1"/>
                <c:pt idx="0">
                  <c:v>YES</c:v>
                </c:pt>
              </c:strCache>
            </c:strRef>
          </c:tx>
          <c:spPr>
            <a:ln w="28575" cap="rnd">
              <a:solidFill>
                <a:schemeClr val="accent2"/>
              </a:solidFill>
              <a:round/>
            </a:ln>
            <a:effectLst/>
          </c:spPr>
          <c:marker>
            <c:symbol val="none"/>
          </c:marker>
          <c:cat>
            <c:strRef>
              <c:f>Pivot_Table!$A$21:$A$24</c:f>
              <c:strCache>
                <c:ptCount val="3"/>
                <c:pt idx="0">
                  <c:v>Adolescent</c:v>
                </c:pt>
                <c:pt idx="1">
                  <c:v>Middle Age</c:v>
                </c:pt>
                <c:pt idx="2">
                  <c:v>Old Age</c:v>
                </c:pt>
              </c:strCache>
            </c:strRef>
          </c:cat>
          <c:val>
            <c:numRef>
              <c:f>Pivot_Table!$C$21:$C$24</c:f>
              <c:numCache>
                <c:formatCode>General</c:formatCode>
                <c:ptCount val="3"/>
                <c:pt idx="0">
                  <c:v>1</c:v>
                </c:pt>
                <c:pt idx="1">
                  <c:v>18</c:v>
                </c:pt>
                <c:pt idx="2">
                  <c:v>4</c:v>
                </c:pt>
              </c:numCache>
            </c:numRef>
          </c:val>
          <c:smooth val="0"/>
          <c:extLst>
            <c:ext xmlns:c16="http://schemas.microsoft.com/office/drawing/2014/chart" uri="{C3380CC4-5D6E-409C-BE32-E72D297353CC}">
              <c16:uniqueId val="{00000004-0DC7-46F5-B6EE-49EFAE71F37D}"/>
            </c:ext>
          </c:extLst>
        </c:ser>
        <c:dLbls>
          <c:showLegendKey val="0"/>
          <c:showVal val="0"/>
          <c:showCatName val="0"/>
          <c:showSerName val="0"/>
          <c:showPercent val="0"/>
          <c:showBubbleSize val="0"/>
        </c:dLbls>
        <c:smooth val="0"/>
        <c:axId val="1525541232"/>
        <c:axId val="1525539792"/>
      </c:lineChart>
      <c:catAx>
        <c:axId val="152554123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Age</a:t>
                </a:r>
                <a:r>
                  <a:rPr lang="en-US" sz="1400" b="1" baseline="0"/>
                  <a:t> Group</a:t>
                </a:r>
                <a:endParaRPr lang="en-US" sz="1400" b="1"/>
              </a:p>
            </c:rich>
          </c:tx>
          <c:layout>
            <c:manualLayout>
              <c:xMode val="edge"/>
              <c:yMode val="edge"/>
              <c:x val="0.34303346456692912"/>
              <c:y val="0.8431966316710410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39792"/>
        <c:crosses val="autoZero"/>
        <c:auto val="1"/>
        <c:lblAlgn val="ctr"/>
        <c:lblOffset val="100"/>
        <c:noMultiLvlLbl val="0"/>
      </c:catAx>
      <c:valAx>
        <c:axId val="152553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Bike Count</a:t>
                </a:r>
              </a:p>
              <a:p>
                <a:pPr>
                  <a:defRPr sz="1200"/>
                </a:pPr>
                <a:endParaRPr lang="en-US"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41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Performances.xlsx]Pivot_Table!PivotTable4</c:name>
    <c:fmtId val="1"/>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Coustomers</a:t>
            </a:r>
            <a:r>
              <a:rPr lang="en-US" sz="1600" b="1" baseline="0">
                <a:solidFill>
                  <a:schemeClr val="bg1"/>
                </a:solidFill>
              </a:rPr>
              <a:t> Communte Distance</a:t>
            </a:r>
            <a:endParaRPr lang="en-US" sz="1600"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Pivot_Table!$B$9:$B$10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Pivot_Table!$A$11:$A$16</c:f>
              <c:strCache>
                <c:ptCount val="5"/>
                <c:pt idx="0">
                  <c:v>0-1 Miles</c:v>
                </c:pt>
                <c:pt idx="1">
                  <c:v>1-2 Miles</c:v>
                </c:pt>
                <c:pt idx="2">
                  <c:v>2-5 Miles</c:v>
                </c:pt>
                <c:pt idx="3">
                  <c:v>5-10 Miles</c:v>
                </c:pt>
                <c:pt idx="4">
                  <c:v>More than 10 Miles</c:v>
                </c:pt>
              </c:strCache>
            </c:strRef>
          </c:cat>
          <c:val>
            <c:numRef>
              <c:f>Pivot_Table!$B$11:$B$16</c:f>
              <c:numCache>
                <c:formatCode>General</c:formatCode>
                <c:ptCount val="5"/>
                <c:pt idx="0">
                  <c:v>8</c:v>
                </c:pt>
                <c:pt idx="1">
                  <c:v>7</c:v>
                </c:pt>
                <c:pt idx="2">
                  <c:v>6</c:v>
                </c:pt>
                <c:pt idx="3">
                  <c:v>4</c:v>
                </c:pt>
                <c:pt idx="4">
                  <c:v>2</c:v>
                </c:pt>
              </c:numCache>
            </c:numRef>
          </c:val>
          <c:smooth val="0"/>
          <c:extLst>
            <c:ext xmlns:c16="http://schemas.microsoft.com/office/drawing/2014/chart" uri="{C3380CC4-5D6E-409C-BE32-E72D297353CC}">
              <c16:uniqueId val="{00000000-B95C-49C8-A761-6F2F369F6B43}"/>
            </c:ext>
          </c:extLst>
        </c:ser>
        <c:ser>
          <c:idx val="1"/>
          <c:order val="1"/>
          <c:tx>
            <c:strRef>
              <c:f>Pivot_Table!$C$9:$C$10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Pivot_Table!$A$11:$A$16</c:f>
              <c:strCache>
                <c:ptCount val="5"/>
                <c:pt idx="0">
                  <c:v>0-1 Miles</c:v>
                </c:pt>
                <c:pt idx="1">
                  <c:v>1-2 Miles</c:v>
                </c:pt>
                <c:pt idx="2">
                  <c:v>2-5 Miles</c:v>
                </c:pt>
                <c:pt idx="3">
                  <c:v>5-10 Miles</c:v>
                </c:pt>
                <c:pt idx="4">
                  <c:v>More than 10 Miles</c:v>
                </c:pt>
              </c:strCache>
            </c:strRef>
          </c:cat>
          <c:val>
            <c:numRef>
              <c:f>Pivot_Table!$C$11:$C$16</c:f>
              <c:numCache>
                <c:formatCode>General</c:formatCode>
                <c:ptCount val="5"/>
                <c:pt idx="0">
                  <c:v>9</c:v>
                </c:pt>
                <c:pt idx="1">
                  <c:v>4</c:v>
                </c:pt>
                <c:pt idx="2">
                  <c:v>6</c:v>
                </c:pt>
                <c:pt idx="3">
                  <c:v>4</c:v>
                </c:pt>
              </c:numCache>
            </c:numRef>
          </c:val>
          <c:smooth val="0"/>
          <c:extLst>
            <c:ext xmlns:c16="http://schemas.microsoft.com/office/drawing/2014/chart" uri="{C3380CC4-5D6E-409C-BE32-E72D297353CC}">
              <c16:uniqueId val="{00000004-B95C-49C8-A761-6F2F369F6B43}"/>
            </c:ext>
          </c:extLst>
        </c:ser>
        <c:dLbls>
          <c:showLegendKey val="0"/>
          <c:showVal val="0"/>
          <c:showCatName val="0"/>
          <c:showSerName val="0"/>
          <c:showPercent val="0"/>
          <c:showBubbleSize val="0"/>
        </c:dLbls>
        <c:marker val="1"/>
        <c:smooth val="0"/>
        <c:axId val="1525519152"/>
        <c:axId val="1525517232"/>
      </c:lineChart>
      <c:catAx>
        <c:axId val="1525519152"/>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Commute</a:t>
                </a:r>
                <a:r>
                  <a:rPr lang="en-US" sz="1200" baseline="0"/>
                  <a:t> Distance</a:t>
                </a:r>
              </a:p>
              <a:p>
                <a:pPr>
                  <a:defRPr sz="1200"/>
                </a:pPr>
                <a:endParaRPr lang="en-US" sz="1200"/>
              </a:p>
            </c:rich>
          </c:tx>
          <c:layout>
            <c:manualLayout>
              <c:xMode val="edge"/>
              <c:yMode val="edge"/>
              <c:x val="0.35917093175853021"/>
              <c:y val="0.8485239602781611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17232"/>
        <c:crosses val="autoZero"/>
        <c:auto val="1"/>
        <c:lblAlgn val="ctr"/>
        <c:lblOffset val="100"/>
        <c:noMultiLvlLbl val="0"/>
      </c:catAx>
      <c:valAx>
        <c:axId val="152551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Count of Purcharged</a:t>
                </a:r>
              </a:p>
              <a:p>
                <a:pPr>
                  <a:defRPr sz="1200"/>
                </a:pPr>
                <a:endParaRPr lang="en-US"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19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Performances.xlsx]Pivot_Table!PivotTable1</c:name>
    <c:fmtId val="9"/>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Average Of Income Per Purcharged</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Pivot_Table!$B$3:$B$4</c:f>
              <c:strCache>
                <c:ptCount val="1"/>
                <c:pt idx="0">
                  <c:v>NO</c:v>
                </c:pt>
              </c:strCache>
            </c:strRef>
          </c:tx>
          <c:spPr>
            <a:solidFill>
              <a:schemeClr val="accent1"/>
            </a:solidFill>
            <a:ln>
              <a:noFill/>
            </a:ln>
            <a:effectLst/>
            <a:sp3d/>
          </c:spPr>
          <c:invertIfNegative val="0"/>
          <c:cat>
            <c:strRef>
              <c:f>Pivot_Table!$A$5:$A$7</c:f>
              <c:strCache>
                <c:ptCount val="2"/>
                <c:pt idx="0">
                  <c:v>Female</c:v>
                </c:pt>
                <c:pt idx="1">
                  <c:v>Male</c:v>
                </c:pt>
              </c:strCache>
            </c:strRef>
          </c:cat>
          <c:val>
            <c:numRef>
              <c:f>Pivot_Table!$B$5:$B$7</c:f>
              <c:numCache>
                <c:formatCode>"$"#,##0</c:formatCode>
                <c:ptCount val="2"/>
                <c:pt idx="0">
                  <c:v>1268154.5384615385</c:v>
                </c:pt>
                <c:pt idx="1">
                  <c:v>1179571.642857143</c:v>
                </c:pt>
              </c:numCache>
            </c:numRef>
          </c:val>
          <c:extLst>
            <c:ext xmlns:c16="http://schemas.microsoft.com/office/drawing/2014/chart" uri="{C3380CC4-5D6E-409C-BE32-E72D297353CC}">
              <c16:uniqueId val="{00000000-83FD-42FF-80E7-EF30D7C48637}"/>
            </c:ext>
          </c:extLst>
        </c:ser>
        <c:ser>
          <c:idx val="1"/>
          <c:order val="1"/>
          <c:tx>
            <c:strRef>
              <c:f>Pivot_Table!$C$3:$C$4</c:f>
              <c:strCache>
                <c:ptCount val="1"/>
                <c:pt idx="0">
                  <c:v>YES</c:v>
                </c:pt>
              </c:strCache>
            </c:strRef>
          </c:tx>
          <c:spPr>
            <a:solidFill>
              <a:schemeClr val="accent2"/>
            </a:solidFill>
            <a:ln>
              <a:noFill/>
            </a:ln>
            <a:effectLst/>
            <a:sp3d/>
          </c:spPr>
          <c:invertIfNegative val="0"/>
          <c:cat>
            <c:strRef>
              <c:f>Pivot_Table!$A$5:$A$7</c:f>
              <c:strCache>
                <c:ptCount val="2"/>
                <c:pt idx="0">
                  <c:v>Female</c:v>
                </c:pt>
                <c:pt idx="1">
                  <c:v>Male</c:v>
                </c:pt>
              </c:strCache>
            </c:strRef>
          </c:cat>
          <c:val>
            <c:numRef>
              <c:f>Pivot_Table!$C$5:$C$7</c:f>
              <c:numCache>
                <c:formatCode>"$"#,##0</c:formatCode>
                <c:ptCount val="2"/>
                <c:pt idx="0">
                  <c:v>1795556.5555555555</c:v>
                </c:pt>
                <c:pt idx="1">
                  <c:v>2285716</c:v>
                </c:pt>
              </c:numCache>
            </c:numRef>
          </c:val>
          <c:extLst>
            <c:ext xmlns:c16="http://schemas.microsoft.com/office/drawing/2014/chart" uri="{C3380CC4-5D6E-409C-BE32-E72D297353CC}">
              <c16:uniqueId val="{00000004-83FD-42FF-80E7-EF30D7C48637}"/>
            </c:ext>
          </c:extLst>
        </c:ser>
        <c:dLbls>
          <c:showLegendKey val="0"/>
          <c:showVal val="0"/>
          <c:showCatName val="0"/>
          <c:showSerName val="0"/>
          <c:showPercent val="0"/>
          <c:showBubbleSize val="0"/>
        </c:dLbls>
        <c:gapWidth val="150"/>
        <c:shape val="box"/>
        <c:axId val="1494868864"/>
        <c:axId val="1494869824"/>
        <c:axId val="0"/>
      </c:bar3DChart>
      <c:catAx>
        <c:axId val="149486886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Gender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69824"/>
        <c:crosses val="autoZero"/>
        <c:auto val="1"/>
        <c:lblAlgn val="ctr"/>
        <c:lblOffset val="100"/>
        <c:noMultiLvlLbl val="0"/>
      </c:catAx>
      <c:valAx>
        <c:axId val="1494869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Income</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68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Performances.xlsx]Pivot_Table!PivotTable2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Income</a:t>
            </a:r>
          </a:p>
        </c:rich>
      </c:tx>
      <c:layout>
        <c:manualLayout>
          <c:xMode val="edge"/>
          <c:yMode val="edge"/>
          <c:x val="0.32734150308676208"/>
          <c:y val="3.34119292780710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1.1445217613251686E-2"/>
              <c:y val="-0.3002604607610534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6205880168688755"/>
                  <c:h val="0.22803147989592165"/>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2.7471586587095455E-2"/>
              <c:y val="-0.4242496261646018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5334839534425962"/>
                  <c:h val="0.25230400757918831"/>
                </c:manualLayout>
              </c15:layout>
            </c:ext>
          </c:extLst>
        </c:dLbl>
      </c:pivotFmt>
    </c:pivotFmts>
    <c:plotArea>
      <c:layout>
        <c:manualLayout>
          <c:layoutTarget val="inner"/>
          <c:xMode val="edge"/>
          <c:yMode val="edge"/>
          <c:x val="0.1442734094857861"/>
          <c:y val="0.11902069933565997"/>
          <c:w val="0.62018169383756605"/>
          <c:h val="0.80646337477046137"/>
        </c:manualLayout>
      </c:layout>
      <c:pieChart>
        <c:varyColors val="1"/>
        <c:ser>
          <c:idx val="0"/>
          <c:order val="0"/>
          <c:tx>
            <c:strRef>
              <c:f>Pivot_Table!$K$5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03A-46DD-B7F0-62F27F4474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03A-46DD-B7F0-62F27F4474F4}"/>
              </c:ext>
            </c:extLst>
          </c:dPt>
          <c:dLbls>
            <c:dLbl>
              <c:idx val="0"/>
              <c:layout>
                <c:manualLayout>
                  <c:x val="1.1445217613251686E-2"/>
                  <c:y val="-0.30026046076105345"/>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6205880168688755"/>
                      <c:h val="0.22803147989592165"/>
                    </c:manualLayout>
                  </c15:layout>
                </c:ext>
                <c:ext xmlns:c16="http://schemas.microsoft.com/office/drawing/2014/chart" uri="{C3380CC4-5D6E-409C-BE32-E72D297353CC}">
                  <c16:uniqueId val="{00000001-F03A-46DD-B7F0-62F27F4474F4}"/>
                </c:ext>
              </c:extLst>
            </c:dLbl>
            <c:dLbl>
              <c:idx val="1"/>
              <c:layout>
                <c:manualLayout>
                  <c:x val="-2.7471586587095455E-2"/>
                  <c:y val="-0.42424962616460188"/>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5334839534425962"/>
                      <c:h val="0.25230400757918831"/>
                    </c:manualLayout>
                  </c15:layout>
                </c:ext>
                <c:ext xmlns:c16="http://schemas.microsoft.com/office/drawing/2014/chart" uri="{C3380CC4-5D6E-409C-BE32-E72D297353CC}">
                  <c16:uniqueId val="{00000003-F03A-46DD-B7F0-62F27F4474F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Pivot_Table!$J$6:$J$8</c:f>
              <c:strCache>
                <c:ptCount val="2"/>
                <c:pt idx="0">
                  <c:v>Europe</c:v>
                </c:pt>
                <c:pt idx="1">
                  <c:v>Pacific</c:v>
                </c:pt>
              </c:strCache>
            </c:strRef>
          </c:cat>
          <c:val>
            <c:numRef>
              <c:f>Pivot_Table!$K$6:$K$8</c:f>
              <c:numCache>
                <c:formatCode>"$"#,##0</c:formatCode>
                <c:ptCount val="2"/>
                <c:pt idx="0">
                  <c:v>71752036</c:v>
                </c:pt>
                <c:pt idx="1">
                  <c:v>9408009</c:v>
                </c:pt>
              </c:numCache>
            </c:numRef>
          </c:val>
          <c:extLst>
            <c:ext xmlns:c16="http://schemas.microsoft.com/office/drawing/2014/chart" uri="{C3380CC4-5D6E-409C-BE32-E72D297353CC}">
              <c16:uniqueId val="{00000004-F03A-46DD-B7F0-62F27F4474F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529683</xdr:colOff>
      <xdr:row>0</xdr:row>
      <xdr:rowOff>30480</xdr:rowOff>
    </xdr:from>
    <xdr:to>
      <xdr:col>25</xdr:col>
      <xdr:colOff>534327</xdr:colOff>
      <xdr:row>5</xdr:row>
      <xdr:rowOff>106680</xdr:rowOff>
    </xdr:to>
    <xdr:sp macro="" textlink="">
      <xdr:nvSpPr>
        <xdr:cNvPr id="2" name="Rectangle 1">
          <a:extLst>
            <a:ext uri="{FF2B5EF4-FFF2-40B4-BE49-F238E27FC236}">
              <a16:creationId xmlns:a16="http://schemas.microsoft.com/office/drawing/2014/main" id="{3BEF76B3-E5CB-34DF-D109-1321A9D4D122}"/>
            </a:ext>
          </a:extLst>
        </xdr:cNvPr>
        <xdr:cNvSpPr/>
      </xdr:nvSpPr>
      <xdr:spPr>
        <a:xfrm>
          <a:off x="529683" y="30480"/>
          <a:ext cx="15337571" cy="100546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latin typeface="Calibri" panose="020F0502020204030204" pitchFamily="34" charset="0"/>
              <a:ea typeface="Calibri" panose="020F0502020204030204" pitchFamily="34" charset="0"/>
              <a:cs typeface="Calibri" panose="020F0502020204030204" pitchFamily="34" charset="0"/>
            </a:rPr>
            <a:t>BIKE</a:t>
          </a:r>
          <a:r>
            <a:rPr lang="en-US" sz="4000" b="1" baseline="0">
              <a:latin typeface="Calibri" panose="020F0502020204030204" pitchFamily="34" charset="0"/>
              <a:ea typeface="Calibri" panose="020F0502020204030204" pitchFamily="34" charset="0"/>
              <a:cs typeface="Calibri" panose="020F0502020204030204" pitchFamily="34" charset="0"/>
            </a:rPr>
            <a:t> SALES PERFORMANCES DASHBORAD</a:t>
          </a:r>
          <a:endParaRPr lang="en-US" sz="4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45715</xdr:colOff>
      <xdr:row>5</xdr:row>
      <xdr:rowOff>175260</xdr:rowOff>
    </xdr:from>
    <xdr:to>
      <xdr:col>15</xdr:col>
      <xdr:colOff>7615</xdr:colOff>
      <xdr:row>25</xdr:row>
      <xdr:rowOff>175260</xdr:rowOff>
    </xdr:to>
    <xdr:graphicFrame macro="">
      <xdr:nvGraphicFramePr>
        <xdr:cNvPr id="3" name="Chart 5">
          <a:extLst>
            <a:ext uri="{FF2B5EF4-FFF2-40B4-BE49-F238E27FC236}">
              <a16:creationId xmlns:a16="http://schemas.microsoft.com/office/drawing/2014/main" id="{B2CA3B16-B129-ADA1-940E-86467531C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46464</xdr:colOff>
      <xdr:row>25</xdr:row>
      <xdr:rowOff>126016</xdr:rowOff>
    </xdr:from>
    <xdr:to>
      <xdr:col>25</xdr:col>
      <xdr:colOff>538976</xdr:colOff>
      <xdr:row>45</xdr:row>
      <xdr:rowOff>164115</xdr:rowOff>
    </xdr:to>
    <xdr:graphicFrame macro="">
      <xdr:nvGraphicFramePr>
        <xdr:cNvPr id="4" name="Chart 3">
          <a:extLst>
            <a:ext uri="{FF2B5EF4-FFF2-40B4-BE49-F238E27FC236}">
              <a16:creationId xmlns:a16="http://schemas.microsoft.com/office/drawing/2014/main" id="{832D5C82-AF30-5673-CB78-2989101FC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83820</xdr:colOff>
      <xdr:row>5</xdr:row>
      <xdr:rowOff>176933</xdr:rowOff>
    </xdr:from>
    <xdr:to>
      <xdr:col>25</xdr:col>
      <xdr:colOff>525779</xdr:colOff>
      <xdr:row>25</xdr:row>
      <xdr:rowOff>70253</xdr:rowOff>
    </xdr:to>
    <xdr:graphicFrame macro="">
      <xdr:nvGraphicFramePr>
        <xdr:cNvPr id="5" name="Chart 2">
          <a:extLst>
            <a:ext uri="{FF2B5EF4-FFF2-40B4-BE49-F238E27FC236}">
              <a16:creationId xmlns:a16="http://schemas.microsoft.com/office/drawing/2014/main" id="{CD07DF44-E4BB-5BBC-A7ED-ACB7E1ABE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566853</xdr:colOff>
      <xdr:row>0</xdr:row>
      <xdr:rowOff>9291</xdr:rowOff>
    </xdr:from>
    <xdr:to>
      <xdr:col>26</xdr:col>
      <xdr:colOff>455341</xdr:colOff>
      <xdr:row>49</xdr:row>
      <xdr:rowOff>55755</xdr:rowOff>
    </xdr:to>
    <xdr:sp macro="" textlink="">
      <xdr:nvSpPr>
        <xdr:cNvPr id="9" name="Rectangle 8">
          <a:extLst>
            <a:ext uri="{FF2B5EF4-FFF2-40B4-BE49-F238E27FC236}">
              <a16:creationId xmlns:a16="http://schemas.microsoft.com/office/drawing/2014/main" id="{87B9E4AA-5DBD-D16F-4C3D-897702365953}"/>
            </a:ext>
          </a:extLst>
        </xdr:cNvPr>
        <xdr:cNvSpPr/>
      </xdr:nvSpPr>
      <xdr:spPr>
        <a:xfrm>
          <a:off x="15899780" y="9291"/>
          <a:ext cx="501805" cy="9153293"/>
        </a:xfrm>
        <a:prstGeom prst="rect">
          <a:avLst/>
        </a:prstGeom>
        <a:blipFill>
          <a:blip xmlns:r="http://schemas.openxmlformats.org/officeDocument/2006/relationships" r:embed="rId4"/>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9293</xdr:colOff>
      <xdr:row>46</xdr:row>
      <xdr:rowOff>18587</xdr:rowOff>
    </xdr:from>
    <xdr:to>
      <xdr:col>25</xdr:col>
      <xdr:colOff>556147</xdr:colOff>
      <xdr:row>49</xdr:row>
      <xdr:rowOff>61815</xdr:rowOff>
    </xdr:to>
    <xdr:sp macro="" textlink="">
      <xdr:nvSpPr>
        <xdr:cNvPr id="10" name="Rectangle 9">
          <a:extLst>
            <a:ext uri="{FF2B5EF4-FFF2-40B4-BE49-F238E27FC236}">
              <a16:creationId xmlns:a16="http://schemas.microsoft.com/office/drawing/2014/main" id="{6AB5DED5-DDA2-4166-AED2-A2D362BE2109}"/>
            </a:ext>
          </a:extLst>
        </xdr:cNvPr>
        <xdr:cNvSpPr/>
      </xdr:nvSpPr>
      <xdr:spPr>
        <a:xfrm rot="5400000">
          <a:off x="7648789" y="928359"/>
          <a:ext cx="600789" cy="15879781"/>
        </a:xfrm>
        <a:prstGeom prst="rect">
          <a:avLst/>
        </a:prstGeom>
        <a:blipFill>
          <a:blip xmlns:r="http://schemas.openxmlformats.org/officeDocument/2006/relationships" r:embed="rId4"/>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501805</xdr:colOff>
      <xdr:row>49</xdr:row>
      <xdr:rowOff>74343</xdr:rowOff>
    </xdr:to>
    <xdr:sp macro="" textlink="">
      <xdr:nvSpPr>
        <xdr:cNvPr id="11" name="Rectangle 10">
          <a:extLst>
            <a:ext uri="{FF2B5EF4-FFF2-40B4-BE49-F238E27FC236}">
              <a16:creationId xmlns:a16="http://schemas.microsoft.com/office/drawing/2014/main" id="{8DFC5D35-6047-4C78-8C1D-65031C906709}"/>
            </a:ext>
          </a:extLst>
        </xdr:cNvPr>
        <xdr:cNvSpPr/>
      </xdr:nvSpPr>
      <xdr:spPr>
        <a:xfrm>
          <a:off x="0" y="0"/>
          <a:ext cx="501805" cy="9181172"/>
        </a:xfrm>
        <a:prstGeom prst="rect">
          <a:avLst/>
        </a:prstGeom>
        <a:blipFill>
          <a:blip xmlns:r="http://schemas.openxmlformats.org/officeDocument/2006/relationships" r:embed="rId4"/>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566852</xdr:colOff>
      <xdr:row>6</xdr:row>
      <xdr:rowOff>2</xdr:rowOff>
    </xdr:from>
    <xdr:to>
      <xdr:col>6</xdr:col>
      <xdr:colOff>18585</xdr:colOff>
      <xdr:row>14</xdr:row>
      <xdr:rowOff>27879</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C662D5F2-1A04-4AC9-9C60-DF3FB3116F9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66852" y="1101689"/>
              <a:ext cx="3087299" cy="1496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557560</xdr:colOff>
      <xdr:row>14</xdr:row>
      <xdr:rowOff>74342</xdr:rowOff>
    </xdr:from>
    <xdr:to>
      <xdr:col>6</xdr:col>
      <xdr:colOff>9293</xdr:colOff>
      <xdr:row>21</xdr:row>
      <xdr:rowOff>148684</xdr:rowOff>
    </xdr:to>
    <mc:AlternateContent xmlns:mc="http://schemas.openxmlformats.org/markup-compatibility/2006" xmlns:a14="http://schemas.microsoft.com/office/drawing/2010/main">
      <mc:Choice Requires="a14">
        <xdr:graphicFrame macro="">
          <xdr:nvGraphicFramePr>
            <xdr:cNvPr id="13" name="Maritial Status 1">
              <a:extLst>
                <a:ext uri="{FF2B5EF4-FFF2-40B4-BE49-F238E27FC236}">
                  <a16:creationId xmlns:a16="http://schemas.microsoft.com/office/drawing/2014/main" id="{330D018F-3BAF-4A46-9226-76C4D6E4068E}"/>
                </a:ext>
              </a:extLst>
            </xdr:cNvPr>
            <xdr:cNvGraphicFramePr/>
          </xdr:nvGraphicFramePr>
          <xdr:xfrm>
            <a:off x="0" y="0"/>
            <a:ext cx="0" cy="0"/>
          </xdr:xfrm>
          <a:graphic>
            <a:graphicData uri="http://schemas.microsoft.com/office/drawing/2010/slicer">
              <sle:slicer xmlns:sle="http://schemas.microsoft.com/office/drawing/2010/slicer" name="Maritial Status 1"/>
            </a:graphicData>
          </a:graphic>
        </xdr:graphicFrame>
      </mc:Choice>
      <mc:Fallback xmlns="">
        <xdr:sp macro="" textlink="">
          <xdr:nvSpPr>
            <xdr:cNvPr id="0" name=""/>
            <xdr:cNvSpPr>
              <a:spLocks noTextEdit="1"/>
            </xdr:cNvSpPr>
          </xdr:nvSpPr>
          <xdr:spPr>
            <a:xfrm>
              <a:off x="557560" y="2644944"/>
              <a:ext cx="3087299" cy="1359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529682</xdr:colOff>
      <xdr:row>22</xdr:row>
      <xdr:rowOff>9293</xdr:rowOff>
    </xdr:from>
    <xdr:to>
      <xdr:col>6</xdr:col>
      <xdr:colOff>18586</xdr:colOff>
      <xdr:row>34</xdr:row>
      <xdr:rowOff>111513</xdr:rowOff>
    </xdr:to>
    <mc:AlternateContent xmlns:mc="http://schemas.openxmlformats.org/markup-compatibility/2006" xmlns:a14="http://schemas.microsoft.com/office/drawing/2010/main">
      <mc:Choice Requires="a14">
        <xdr:graphicFrame macro="">
          <xdr:nvGraphicFramePr>
            <xdr:cNvPr id="14" name="Education 1">
              <a:extLst>
                <a:ext uri="{FF2B5EF4-FFF2-40B4-BE49-F238E27FC236}">
                  <a16:creationId xmlns:a16="http://schemas.microsoft.com/office/drawing/2014/main" id="{2BA637BE-CD56-4FD3-BD1E-0F4011965CC7}"/>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529682" y="4048811"/>
              <a:ext cx="3124470" cy="2305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520390</xdr:colOff>
      <xdr:row>34</xdr:row>
      <xdr:rowOff>148683</xdr:rowOff>
    </xdr:from>
    <xdr:to>
      <xdr:col>6</xdr:col>
      <xdr:colOff>2</xdr:colOff>
      <xdr:row>45</xdr:row>
      <xdr:rowOff>176560</xdr:rowOff>
    </xdr:to>
    <mc:AlternateContent xmlns:mc="http://schemas.openxmlformats.org/markup-compatibility/2006" xmlns:a14="http://schemas.microsoft.com/office/drawing/2010/main">
      <mc:Choice Requires="a14">
        <xdr:graphicFrame macro="">
          <xdr:nvGraphicFramePr>
            <xdr:cNvPr id="15" name="Occupation 1">
              <a:extLst>
                <a:ext uri="{FF2B5EF4-FFF2-40B4-BE49-F238E27FC236}">
                  <a16:creationId xmlns:a16="http://schemas.microsoft.com/office/drawing/2014/main" id="{9F7450B7-FB36-4D99-A5FB-0F94AE06D83C}"/>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520390" y="6391575"/>
              <a:ext cx="3115178" cy="2047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24</xdr:row>
      <xdr:rowOff>167268</xdr:rowOff>
    </xdr:from>
    <xdr:to>
      <xdr:col>15</xdr:col>
      <xdr:colOff>27878</xdr:colOff>
      <xdr:row>46</xdr:row>
      <xdr:rowOff>0</xdr:rowOff>
    </xdr:to>
    <xdr:graphicFrame macro="">
      <xdr:nvGraphicFramePr>
        <xdr:cNvPr id="18" name="Chart 9">
          <a:extLst>
            <a:ext uri="{FF2B5EF4-FFF2-40B4-BE49-F238E27FC236}">
              <a16:creationId xmlns:a16="http://schemas.microsoft.com/office/drawing/2014/main" id="{7B63EDF9-750E-DE19-9660-9EF2ABD97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 R. Watalah" refreshedDate="46052.034107407409" createdVersion="8" refreshedVersion="8" minRefreshableVersion="3" recordCount="50" xr:uid="{1812FC7F-E9A0-49A2-ABE4-A43BFC1285D2}">
  <cacheSource type="worksheet">
    <worksheetSource name="Sale_of_Bike4"/>
  </cacheSource>
  <cacheFields count="14">
    <cacheField name="ID" numFmtId="0">
      <sharedItems containsSemiMixedTypes="0" containsString="0" containsNumber="1" containsInteger="1" minValue="12496" maxValue="12545"/>
    </cacheField>
    <cacheField name="Mari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40000" maxValue="7800009" count="15">
        <n v="40000"/>
        <n v="70000"/>
        <n v="90000"/>
        <n v="65000"/>
        <n v="7800000"/>
        <n v="7800001"/>
        <n v="7800002"/>
        <n v="7800003"/>
        <n v="7800004"/>
        <n v="7800005"/>
        <n v="7800006"/>
        <n v="7800007"/>
        <n v="7800008"/>
        <n v="7800009"/>
        <n v="96000"/>
      </sharedItems>
    </cacheField>
    <cacheField name="Children" numFmtId="0">
      <sharedItems containsSemiMixedTypes="0" containsString="0" containsNumber="1" containsInteger="1" minValue="0" maxValue="6"/>
    </cacheField>
    <cacheField name="Education" numFmtId="0">
      <sharedItems count="4">
        <s v="Bachelors"/>
        <s v="Partial College"/>
        <s v="Partial College "/>
        <s v="High School"/>
      </sharedItems>
    </cacheField>
    <cacheField name="Occupation" numFmtId="0">
      <sharedItems count="4">
        <s v="Skilled Manual"/>
        <s v="Clerical"/>
        <s v="Professional"/>
        <s v="Management"/>
      </sharedItems>
    </cacheField>
    <cacheField name="Home Owner" numFmtId="0">
      <sharedItems/>
    </cacheField>
    <cacheField name="Car" numFmtId="0">
      <sharedItems containsSemiMixedTypes="0" containsString="0" containsNumber="1" containsInteger="1" minValue="0" maxValue="3"/>
    </cacheField>
    <cacheField name="Commute Distance" numFmtId="0">
      <sharedItems count="5">
        <s v="0-1 Miles"/>
        <s v="2-5 Miles"/>
        <s v="5-10 Miles"/>
        <s v="1-2 Miles"/>
        <s v="More than 10 Miles"/>
      </sharedItems>
    </cacheField>
    <cacheField name="Region" numFmtId="0">
      <sharedItems count="2">
        <s v="Europe"/>
        <s v="Pacific"/>
      </sharedItems>
    </cacheField>
    <cacheField name="Age" numFmtId="0">
      <sharedItems containsSemiMixedTypes="0" containsString="0" containsNumber="1" containsInteger="1" minValue="32" maxValue="60"/>
    </cacheField>
    <cacheField name="Age Group" numFmtId="0">
      <sharedItems count="3">
        <s v="Middle Age"/>
        <s v="Old Age"/>
        <s v="Adolescent"/>
      </sharedItems>
    </cacheField>
    <cacheField name="Purcharged Bike" numFmtId="0">
      <sharedItems count="2">
        <s v="NO"/>
        <s v="YES"/>
      </sharedItems>
    </cacheField>
  </cacheFields>
  <extLst>
    <ext xmlns:x14="http://schemas.microsoft.com/office/spreadsheetml/2009/9/main" uri="{725AE2AE-9491-48be-B2B4-4EB974FC3084}">
      <x14:pivotCacheDefinition pivotCacheId="327782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2496"/>
    <x v="0"/>
    <x v="0"/>
    <x v="0"/>
    <n v="2"/>
    <x v="0"/>
    <x v="0"/>
    <s v="YES"/>
    <n v="0"/>
    <x v="0"/>
    <x v="0"/>
    <n v="42"/>
    <x v="0"/>
    <x v="0"/>
  </r>
  <r>
    <n v="12497"/>
    <x v="0"/>
    <x v="1"/>
    <x v="0"/>
    <n v="4"/>
    <x v="1"/>
    <x v="1"/>
    <s v="NO"/>
    <n v="2"/>
    <x v="0"/>
    <x v="0"/>
    <n v="43"/>
    <x v="0"/>
    <x v="0"/>
  </r>
  <r>
    <n v="12498"/>
    <x v="0"/>
    <x v="1"/>
    <x v="0"/>
    <n v="0"/>
    <x v="2"/>
    <x v="2"/>
    <s v="YES"/>
    <n v="1"/>
    <x v="1"/>
    <x v="0"/>
    <n v="60"/>
    <x v="1"/>
    <x v="0"/>
  </r>
  <r>
    <n v="12499"/>
    <x v="0"/>
    <x v="0"/>
    <x v="1"/>
    <n v="4"/>
    <x v="0"/>
    <x v="2"/>
    <s v="NO"/>
    <n v="2"/>
    <x v="2"/>
    <x v="1"/>
    <n v="41"/>
    <x v="0"/>
    <x v="0"/>
  </r>
  <r>
    <n v="12500"/>
    <x v="1"/>
    <x v="0"/>
    <x v="2"/>
    <n v="0"/>
    <x v="0"/>
    <x v="1"/>
    <s v="YES"/>
    <n v="3"/>
    <x v="0"/>
    <x v="0"/>
    <n v="53"/>
    <x v="0"/>
    <x v="0"/>
  </r>
  <r>
    <n v="12501"/>
    <x v="1"/>
    <x v="0"/>
    <x v="1"/>
    <n v="0"/>
    <x v="2"/>
    <x v="0"/>
    <s v="NO"/>
    <n v="0"/>
    <x v="3"/>
    <x v="0"/>
    <n v="36"/>
    <x v="2"/>
    <x v="0"/>
  </r>
  <r>
    <n v="12502"/>
    <x v="1"/>
    <x v="1"/>
    <x v="2"/>
    <n v="0"/>
    <x v="3"/>
    <x v="3"/>
    <s v="YES"/>
    <n v="0"/>
    <x v="4"/>
    <x v="1"/>
    <n v="33"/>
    <x v="2"/>
    <x v="0"/>
  </r>
  <r>
    <n v="12503"/>
    <x v="1"/>
    <x v="1"/>
    <x v="1"/>
    <n v="0"/>
    <x v="0"/>
    <x v="0"/>
    <s v="NO"/>
    <n v="0"/>
    <x v="3"/>
    <x v="0"/>
    <n v="45"/>
    <x v="0"/>
    <x v="0"/>
  </r>
  <r>
    <n v="12504"/>
    <x v="0"/>
    <x v="0"/>
    <x v="2"/>
    <n v="0"/>
    <x v="2"/>
    <x v="1"/>
    <s v="YES"/>
    <n v="0"/>
    <x v="0"/>
    <x v="1"/>
    <n v="43"/>
    <x v="0"/>
    <x v="1"/>
  </r>
  <r>
    <n v="12505"/>
    <x v="1"/>
    <x v="0"/>
    <x v="1"/>
    <n v="0"/>
    <x v="2"/>
    <x v="2"/>
    <s v="NO"/>
    <n v="0"/>
    <x v="0"/>
    <x v="0"/>
    <n v="56"/>
    <x v="1"/>
    <x v="1"/>
  </r>
  <r>
    <n v="12506"/>
    <x v="0"/>
    <x v="0"/>
    <x v="2"/>
    <n v="2"/>
    <x v="2"/>
    <x v="2"/>
    <s v="YES"/>
    <n v="0"/>
    <x v="2"/>
    <x v="1"/>
    <n v="45"/>
    <x v="0"/>
    <x v="1"/>
  </r>
  <r>
    <n v="12507"/>
    <x v="1"/>
    <x v="1"/>
    <x v="1"/>
    <n v="2"/>
    <x v="2"/>
    <x v="1"/>
    <s v="NO"/>
    <n v="0"/>
    <x v="3"/>
    <x v="0"/>
    <n v="34"/>
    <x v="2"/>
    <x v="0"/>
  </r>
  <r>
    <n v="12508"/>
    <x v="0"/>
    <x v="1"/>
    <x v="2"/>
    <n v="2"/>
    <x v="2"/>
    <x v="0"/>
    <s v="YES"/>
    <n v="2"/>
    <x v="0"/>
    <x v="1"/>
    <n v="45"/>
    <x v="0"/>
    <x v="1"/>
  </r>
  <r>
    <n v="12509"/>
    <x v="0"/>
    <x v="0"/>
    <x v="1"/>
    <n v="2"/>
    <x v="2"/>
    <x v="3"/>
    <s v="YES"/>
    <n v="1"/>
    <x v="3"/>
    <x v="0"/>
    <n v="32"/>
    <x v="2"/>
    <x v="0"/>
  </r>
  <r>
    <n v="12510"/>
    <x v="1"/>
    <x v="0"/>
    <x v="2"/>
    <n v="2"/>
    <x v="2"/>
    <x v="0"/>
    <s v="YES"/>
    <n v="1"/>
    <x v="0"/>
    <x v="1"/>
    <n v="34"/>
    <x v="2"/>
    <x v="1"/>
  </r>
  <r>
    <n v="12511"/>
    <x v="1"/>
    <x v="0"/>
    <x v="2"/>
    <n v="2"/>
    <x v="2"/>
    <x v="1"/>
    <s v="YES"/>
    <n v="1"/>
    <x v="0"/>
    <x v="0"/>
    <n v="35"/>
    <x v="2"/>
    <x v="0"/>
  </r>
  <r>
    <n v="12512"/>
    <x v="1"/>
    <x v="1"/>
    <x v="2"/>
    <n v="2"/>
    <x v="2"/>
    <x v="2"/>
    <s v="YES"/>
    <n v="1"/>
    <x v="0"/>
    <x v="1"/>
    <n v="45"/>
    <x v="0"/>
    <x v="0"/>
  </r>
  <r>
    <n v="12513"/>
    <x v="1"/>
    <x v="1"/>
    <x v="2"/>
    <n v="1"/>
    <x v="2"/>
    <x v="2"/>
    <s v="YES"/>
    <n v="1"/>
    <x v="2"/>
    <x v="0"/>
    <n v="43"/>
    <x v="0"/>
    <x v="1"/>
  </r>
  <r>
    <n v="12514"/>
    <x v="1"/>
    <x v="0"/>
    <x v="2"/>
    <n v="1"/>
    <x v="2"/>
    <x v="1"/>
    <s v="YES"/>
    <n v="1"/>
    <x v="3"/>
    <x v="1"/>
    <n v="42"/>
    <x v="0"/>
    <x v="0"/>
  </r>
  <r>
    <n v="12515"/>
    <x v="1"/>
    <x v="0"/>
    <x v="2"/>
    <n v="1"/>
    <x v="2"/>
    <x v="0"/>
    <s v="YES"/>
    <n v="1"/>
    <x v="3"/>
    <x v="0"/>
    <n v="41"/>
    <x v="0"/>
    <x v="0"/>
  </r>
  <r>
    <n v="12516"/>
    <x v="1"/>
    <x v="0"/>
    <x v="2"/>
    <n v="1"/>
    <x v="3"/>
    <x v="3"/>
    <s v="YES"/>
    <n v="2"/>
    <x v="1"/>
    <x v="1"/>
    <n v="56"/>
    <x v="1"/>
    <x v="1"/>
  </r>
  <r>
    <n v="12517"/>
    <x v="1"/>
    <x v="1"/>
    <x v="2"/>
    <n v="1"/>
    <x v="3"/>
    <x v="0"/>
    <s v="YES"/>
    <n v="3"/>
    <x v="1"/>
    <x v="0"/>
    <n v="43"/>
    <x v="0"/>
    <x v="1"/>
  </r>
  <r>
    <n v="12518"/>
    <x v="1"/>
    <x v="1"/>
    <x v="2"/>
    <n v="1"/>
    <x v="3"/>
    <x v="1"/>
    <s v="YES"/>
    <n v="1"/>
    <x v="3"/>
    <x v="1"/>
    <n v="42"/>
    <x v="0"/>
    <x v="1"/>
  </r>
  <r>
    <n v="12519"/>
    <x v="1"/>
    <x v="0"/>
    <x v="2"/>
    <n v="1"/>
    <x v="3"/>
    <x v="2"/>
    <s v="NO"/>
    <n v="1"/>
    <x v="4"/>
    <x v="0"/>
    <n v="43"/>
    <x v="0"/>
    <x v="0"/>
  </r>
  <r>
    <n v="12520"/>
    <x v="1"/>
    <x v="1"/>
    <x v="2"/>
    <n v="1"/>
    <x v="3"/>
    <x v="2"/>
    <s v="NO"/>
    <n v="1"/>
    <x v="1"/>
    <x v="1"/>
    <n v="42"/>
    <x v="0"/>
    <x v="1"/>
  </r>
  <r>
    <n v="12521"/>
    <x v="0"/>
    <x v="1"/>
    <x v="2"/>
    <n v="3"/>
    <x v="0"/>
    <x v="1"/>
    <s v="NO"/>
    <n v="1"/>
    <x v="1"/>
    <x v="0"/>
    <n v="45"/>
    <x v="0"/>
    <x v="1"/>
  </r>
  <r>
    <n v="12522"/>
    <x v="1"/>
    <x v="0"/>
    <x v="2"/>
    <n v="2"/>
    <x v="0"/>
    <x v="0"/>
    <s v="NO"/>
    <n v="1"/>
    <x v="0"/>
    <x v="1"/>
    <n v="46"/>
    <x v="0"/>
    <x v="0"/>
  </r>
  <r>
    <n v="12523"/>
    <x v="0"/>
    <x v="1"/>
    <x v="3"/>
    <n v="4"/>
    <x v="0"/>
    <x v="3"/>
    <s v="NO"/>
    <n v="1"/>
    <x v="0"/>
    <x v="0"/>
    <n v="47"/>
    <x v="0"/>
    <x v="1"/>
  </r>
  <r>
    <n v="12524"/>
    <x v="1"/>
    <x v="1"/>
    <x v="3"/>
    <n v="6"/>
    <x v="0"/>
    <x v="0"/>
    <s v="NO"/>
    <n v="1"/>
    <x v="0"/>
    <x v="1"/>
    <n v="50"/>
    <x v="0"/>
    <x v="0"/>
  </r>
  <r>
    <n v="12525"/>
    <x v="0"/>
    <x v="0"/>
    <x v="3"/>
    <n v="2"/>
    <x v="0"/>
    <x v="1"/>
    <s v="NO"/>
    <n v="0"/>
    <x v="2"/>
    <x v="1"/>
    <n v="52"/>
    <x v="0"/>
    <x v="1"/>
  </r>
  <r>
    <n v="12526"/>
    <x v="1"/>
    <x v="1"/>
    <x v="3"/>
    <n v="2"/>
    <x v="0"/>
    <x v="2"/>
    <s v="NO"/>
    <n v="0"/>
    <x v="3"/>
    <x v="0"/>
    <n v="53"/>
    <x v="0"/>
    <x v="1"/>
  </r>
  <r>
    <n v="12527"/>
    <x v="0"/>
    <x v="1"/>
    <x v="3"/>
    <n v="2"/>
    <x v="0"/>
    <x v="2"/>
    <s v="NO"/>
    <n v="0"/>
    <x v="3"/>
    <x v="1"/>
    <n v="54"/>
    <x v="0"/>
    <x v="1"/>
  </r>
  <r>
    <n v="12528"/>
    <x v="1"/>
    <x v="0"/>
    <x v="3"/>
    <n v="2"/>
    <x v="0"/>
    <x v="1"/>
    <s v="NO"/>
    <n v="0"/>
    <x v="1"/>
    <x v="0"/>
    <n v="56"/>
    <x v="1"/>
    <x v="1"/>
  </r>
  <r>
    <n v="12529"/>
    <x v="0"/>
    <x v="1"/>
    <x v="3"/>
    <n v="2"/>
    <x v="0"/>
    <x v="0"/>
    <s v="NO"/>
    <n v="0"/>
    <x v="0"/>
    <x v="1"/>
    <n v="59"/>
    <x v="1"/>
    <x v="1"/>
  </r>
  <r>
    <n v="12530"/>
    <x v="1"/>
    <x v="1"/>
    <x v="3"/>
    <n v="2"/>
    <x v="0"/>
    <x v="3"/>
    <s v="NO"/>
    <n v="0"/>
    <x v="1"/>
    <x v="0"/>
    <n v="40"/>
    <x v="2"/>
    <x v="0"/>
  </r>
  <r>
    <n v="12531"/>
    <x v="0"/>
    <x v="0"/>
    <x v="4"/>
    <n v="2"/>
    <x v="0"/>
    <x v="0"/>
    <s v="NO"/>
    <n v="0"/>
    <x v="2"/>
    <x v="0"/>
    <n v="41"/>
    <x v="0"/>
    <x v="0"/>
  </r>
  <r>
    <n v="12532"/>
    <x v="1"/>
    <x v="1"/>
    <x v="5"/>
    <n v="2"/>
    <x v="0"/>
    <x v="1"/>
    <s v="NO"/>
    <n v="0"/>
    <x v="3"/>
    <x v="0"/>
    <n v="42"/>
    <x v="0"/>
    <x v="0"/>
  </r>
  <r>
    <n v="12533"/>
    <x v="0"/>
    <x v="1"/>
    <x v="6"/>
    <n v="2"/>
    <x v="3"/>
    <x v="2"/>
    <s v="NO"/>
    <n v="0"/>
    <x v="0"/>
    <x v="0"/>
    <n v="43"/>
    <x v="0"/>
    <x v="0"/>
  </r>
  <r>
    <n v="12534"/>
    <x v="1"/>
    <x v="0"/>
    <x v="7"/>
    <n v="2"/>
    <x v="3"/>
    <x v="2"/>
    <s v="NO"/>
    <n v="0"/>
    <x v="3"/>
    <x v="0"/>
    <n v="42"/>
    <x v="0"/>
    <x v="1"/>
  </r>
  <r>
    <n v="12535"/>
    <x v="0"/>
    <x v="1"/>
    <x v="8"/>
    <n v="2"/>
    <x v="3"/>
    <x v="1"/>
    <s v="YES"/>
    <n v="1"/>
    <x v="0"/>
    <x v="0"/>
    <n v="43"/>
    <x v="0"/>
    <x v="1"/>
  </r>
  <r>
    <n v="12536"/>
    <x v="1"/>
    <x v="1"/>
    <x v="9"/>
    <n v="1"/>
    <x v="3"/>
    <x v="0"/>
    <s v="NO"/>
    <n v="1"/>
    <x v="2"/>
    <x v="0"/>
    <n v="45"/>
    <x v="0"/>
    <x v="1"/>
  </r>
  <r>
    <n v="12537"/>
    <x v="0"/>
    <x v="0"/>
    <x v="10"/>
    <n v="1"/>
    <x v="0"/>
    <x v="3"/>
    <s v="YES"/>
    <n v="1"/>
    <x v="1"/>
    <x v="0"/>
    <n v="45"/>
    <x v="0"/>
    <x v="1"/>
  </r>
  <r>
    <n v="12538"/>
    <x v="1"/>
    <x v="1"/>
    <x v="11"/>
    <n v="1"/>
    <x v="2"/>
    <x v="0"/>
    <s v="NO"/>
    <n v="1"/>
    <x v="0"/>
    <x v="0"/>
    <n v="43"/>
    <x v="0"/>
    <x v="1"/>
  </r>
  <r>
    <n v="12539"/>
    <x v="0"/>
    <x v="1"/>
    <x v="12"/>
    <n v="1"/>
    <x v="3"/>
    <x v="1"/>
    <s v="YES"/>
    <n v="1"/>
    <x v="0"/>
    <x v="0"/>
    <n v="42"/>
    <x v="0"/>
    <x v="1"/>
  </r>
  <r>
    <n v="12540"/>
    <x v="1"/>
    <x v="0"/>
    <x v="13"/>
    <n v="1"/>
    <x v="2"/>
    <x v="2"/>
    <s v="NO"/>
    <n v="1"/>
    <x v="2"/>
    <x v="1"/>
    <n v="43"/>
    <x v="0"/>
    <x v="0"/>
  </r>
  <r>
    <n v="12541"/>
    <x v="0"/>
    <x v="1"/>
    <x v="14"/>
    <n v="1"/>
    <x v="0"/>
    <x v="2"/>
    <s v="YES"/>
    <n v="1"/>
    <x v="1"/>
    <x v="1"/>
    <n v="32"/>
    <x v="2"/>
    <x v="0"/>
  </r>
  <r>
    <n v="12542"/>
    <x v="1"/>
    <x v="1"/>
    <x v="14"/>
    <n v="1"/>
    <x v="2"/>
    <x v="1"/>
    <s v="NO"/>
    <n v="0"/>
    <x v="2"/>
    <x v="1"/>
    <n v="34"/>
    <x v="2"/>
    <x v="0"/>
  </r>
  <r>
    <n v="12543"/>
    <x v="0"/>
    <x v="0"/>
    <x v="14"/>
    <n v="1"/>
    <x v="3"/>
    <x v="0"/>
    <s v="YES"/>
    <n v="1"/>
    <x v="1"/>
    <x v="0"/>
    <n v="32"/>
    <x v="2"/>
    <x v="0"/>
  </r>
  <r>
    <n v="12544"/>
    <x v="1"/>
    <x v="1"/>
    <x v="14"/>
    <n v="1"/>
    <x v="0"/>
    <x v="3"/>
    <s v="NO"/>
    <n v="2"/>
    <x v="1"/>
    <x v="1"/>
    <n v="34"/>
    <x v="2"/>
    <x v="0"/>
  </r>
  <r>
    <n v="12545"/>
    <x v="0"/>
    <x v="1"/>
    <x v="14"/>
    <n v="1"/>
    <x v="2"/>
    <x v="0"/>
    <s v="YES"/>
    <n v="3"/>
    <x v="1"/>
    <x v="0"/>
    <n v="3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D87F9D-EB75-4D62-AFC8-3C9ABBA840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colHeaderCaption="Bike Purchage">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5">
        <item x="0"/>
        <item x="3"/>
        <item x="1"/>
        <item x="2"/>
        <item t="default"/>
      </items>
    </pivotField>
    <pivotField showAll="0">
      <items count="5">
        <item x="1"/>
        <item x="3"/>
        <item x="2"/>
        <item x="0"/>
        <item t="default"/>
      </items>
    </pivotField>
    <pivotField showAll="0"/>
    <pivotField showAll="0"/>
    <pivotField showAll="0">
      <items count="6">
        <item x="0"/>
        <item x="3"/>
        <item x="1"/>
        <item x="2"/>
        <item x="4"/>
        <item t="default"/>
      </items>
    </pivotField>
    <pivotField showAll="0">
      <items count="3">
        <item x="0"/>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3">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161A5D-96A1-464E-AF0D-4C18E1F7F6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4" firstHeaderRow="1" firstDataRow="2" firstDataCol="1"/>
  <pivotFields count="14">
    <pivotField showAll="0"/>
    <pivotField showAll="0"/>
    <pivotField showAll="0">
      <items count="3">
        <item x="0"/>
        <item x="1"/>
        <item t="default"/>
      </items>
    </pivotField>
    <pivotField numFmtId="164" showAll="0"/>
    <pivotField showAll="0"/>
    <pivotField showAll="0"/>
    <pivotField showAll="0"/>
    <pivotField showAll="0"/>
    <pivotField showAll="0"/>
    <pivotField showAll="0">
      <items count="6">
        <item x="0"/>
        <item x="3"/>
        <item x="1"/>
        <item x="2"/>
        <item x="4"/>
        <item t="default"/>
      </items>
    </pivotField>
    <pivotField showAll="0">
      <items count="3">
        <item x="0"/>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rged Bike" fld="13" subtotal="count" baseField="0" baseItem="0"/>
  </dataFields>
  <chartFormats count="3">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1D0352-311D-48C1-97CC-9A509AF31A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D16" firstHeaderRow="1" firstDataRow="2" firstDataCol="1"/>
  <pivotFields count="14">
    <pivotField showAll="0"/>
    <pivotField showAll="0"/>
    <pivotField showAll="0">
      <items count="3">
        <item x="0"/>
        <item x="1"/>
        <item t="default"/>
      </items>
    </pivotField>
    <pivotField numFmtId="164" showAll="0"/>
    <pivotField showAll="0"/>
    <pivotField showAll="0"/>
    <pivotField showAll="0"/>
    <pivotField showAll="0"/>
    <pivotField showAll="0"/>
    <pivotField axis="axisRow" showAll="0">
      <items count="6">
        <item x="0"/>
        <item x="3"/>
        <item x="1"/>
        <item x="2"/>
        <item x="4"/>
        <item t="default"/>
      </items>
    </pivotField>
    <pivotField showAll="0">
      <items count="3">
        <item x="0"/>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rged Bike" fld="13" subtotal="count" baseField="9" baseItem="0"/>
  </dataFields>
  <chartFormats count="3">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5A740-53D8-4FFE-BFCA-6ED84976F2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5:K8" firstHeaderRow="1" firstDataRow="1" firstDataCol="1"/>
  <pivotFields count="14">
    <pivotField showAll="0"/>
    <pivotField showAll="0"/>
    <pivotField showAll="0">
      <items count="3">
        <item x="0"/>
        <item x="1"/>
        <item t="default"/>
      </items>
    </pivotField>
    <pivotField dataField="1" numFmtId="164" showAll="0">
      <items count="16">
        <item x="0"/>
        <item h="1" x="3"/>
        <item h="1" x="1"/>
        <item h="1" x="2"/>
        <item h="1" x="14"/>
        <item h="1" x="4"/>
        <item h="1" x="5"/>
        <item h="1" x="6"/>
        <item h="1" x="7"/>
        <item h="1" x="8"/>
        <item h="1" x="9"/>
        <item h="1" x="10"/>
        <item h="1" x="11"/>
        <item h="1" x="12"/>
        <item h="1" x="13"/>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10"/>
  </rowFields>
  <rowItems count="3">
    <i>
      <x/>
    </i>
    <i>
      <x v="1"/>
    </i>
    <i t="grand">
      <x/>
    </i>
  </rowItems>
  <colItems count="1">
    <i/>
  </colItems>
  <dataFields count="1">
    <dataField name="Sum of Income" fld="3" baseField="0" baseItem="0" numFmtId="164"/>
  </dataFields>
  <chartFormats count="3">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0" count="1" selected="0">
            <x v="0"/>
          </reference>
        </references>
      </pivotArea>
    </chartFormat>
    <chartFormat chart="10" format="3">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467CD7-B143-4B0C-905F-469FD21BF581}" autoFormatId="16" applyNumberFormats="0" applyBorderFormats="0" applyFontFormats="0" applyPatternFormats="0" applyAlignmentFormats="0" applyWidthHeightFormats="0">
  <queryTableRefresh nextId="14">
    <queryTableFields count="13">
      <queryTableField id="1" name="ID" tableColumnId="1"/>
      <queryTableField id="2" name="Maritial Status "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 tableColumnId="9"/>
      <queryTableField id="10" name="Commute Distance" tableColumnId="10"/>
      <queryTableField id="11" name="Region" tableColumnId="11"/>
      <queryTableField id="12" name="Age" tableColumnId="12"/>
      <queryTableField id="13" name="Purcharged Bik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4DA6010-B511-4841-B895-AC5D761D01E6}" autoFormatId="16" applyNumberFormats="0" applyBorderFormats="0" applyFontFormats="0" applyPatternFormats="0" applyAlignmentFormats="0" applyWidthHeightFormats="0">
  <queryTableRefresh nextId="15">
    <queryTableFields count="14">
      <queryTableField id="1" name="ID" tableColumnId="1"/>
      <queryTableField id="2" name="Maritial Status "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 tableColumnId="9"/>
      <queryTableField id="10" name="Commute Distance" tableColumnId="10"/>
      <queryTableField id="11" name="Region" tableColumnId="11"/>
      <queryTableField id="12" name="Age" tableColumnId="12"/>
      <queryTableField id="14" dataBound="0" tableColumnId="14"/>
      <queryTableField id="13" name="Purcharged Bik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2A10DAEE-2FDC-4B26-9E70-F0C027B52A3D}" sourceName="Maritial Status">
  <pivotTables>
    <pivotTable tabId="4" name="PivotTable1"/>
  </pivotTables>
  <data>
    <tabular pivotCacheId="3277825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5E63FA4-60C2-443E-9F44-3CA9FE59AB0B}" sourceName="Education">
  <pivotTables>
    <pivotTable tabId="4" name="PivotTable1"/>
  </pivotTables>
  <data>
    <tabular pivotCacheId="327782524">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8C29C6C-13DE-4022-B71E-CD5FFC23CE72}" sourceName="Occupation">
  <pivotTables>
    <pivotTable tabId="4" name="PivotTable1"/>
  </pivotTables>
  <data>
    <tabular pivotCacheId="327782524">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09B2BB-2C0F-4CEE-8C71-2310DAE70F8D}" sourceName="Region">
  <pivotTables>
    <pivotTable tabId="4" name="PivotTable1"/>
    <pivotTable tabId="4" name="PivotTable2"/>
    <pivotTable tabId="4" name="PivotTable4"/>
    <pivotTable tabId="4" name="PivotTable6"/>
  </pivotTables>
  <data>
    <tabular pivotCacheId="32778252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1" xr10:uid="{EF499581-5816-4236-BE2B-85C7665D372C}" cache="Slicer_Maritial_Status" caption="Maritial Status" rowHeight="457200"/>
  <slicer name="Education 1" xr10:uid="{53C36B16-9794-4D82-A821-877219F9E758}" cache="Slicer_Education" caption="Education" rowHeight="457200"/>
  <slicer name="Occupation 1" xr10:uid="{E516EB7D-C491-4B45-B072-87FE3BA49AF1}" cache="Slicer_Occupation" caption="Occupation" rowHeight="365760"/>
  <slicer name="Region 1" xr10:uid="{E90F0FC4-2556-41E9-9A6E-E543DA6B898F}" cache="Slicer_Region" caption="Region"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B72817-E46A-42B7-97A9-83E2B8FF45EB}" name="Sale_of_Bike" displayName="Sale_of_Bike" ref="A1:M51" tableType="queryTable" totalsRowShown="0">
  <autoFilter ref="A1:M51" xr:uid="{37B72817-E46A-42B7-97A9-83E2B8FF45EB}"/>
  <tableColumns count="13">
    <tableColumn id="1" xr3:uid="{3C3A7DC6-F8F7-4734-A95E-B3796ECF34FA}" uniqueName="1" name="ID" queryTableFieldId="1"/>
    <tableColumn id="2" xr3:uid="{839DF8AC-C8FA-4468-B118-9D512A164B07}" uniqueName="2" name="Maritial Status " queryTableFieldId="2" dataDxfId="17"/>
    <tableColumn id="3" xr3:uid="{A8C9690D-82E7-40D4-94DF-70B16C7EF45B}" uniqueName="3" name="Gender" queryTableFieldId="3" dataDxfId="16"/>
    <tableColumn id="4" xr3:uid="{9A31E566-928F-4DF3-9A74-1FFBED1BB354}" uniqueName="4" name="Income" queryTableFieldId="4"/>
    <tableColumn id="5" xr3:uid="{EBF27D4D-CB29-4221-8899-DA0CB9A1B39D}" uniqueName="5" name="Children" queryTableFieldId="5"/>
    <tableColumn id="6" xr3:uid="{8A0E3AC6-228B-4E8D-B944-4694597C6030}" uniqueName="6" name="Education" queryTableFieldId="6" dataDxfId="15"/>
    <tableColumn id="7" xr3:uid="{AB665416-8372-49EC-BE3E-DC9880819E8C}" uniqueName="7" name="Occupation" queryTableFieldId="7" dataDxfId="14"/>
    <tableColumn id="8" xr3:uid="{F60D78D9-5DF6-4EB0-A364-3B37DF35A204}" uniqueName="8" name="Home Owner" queryTableFieldId="8" dataDxfId="13"/>
    <tableColumn id="9" xr3:uid="{893E3E17-87BD-4F19-A528-34D503E6C947}" uniqueName="9" name="Car" queryTableFieldId="9"/>
    <tableColumn id="10" xr3:uid="{8A0695EA-3C66-4D60-9EE2-B3625BB1C09D}" uniqueName="10" name="Commute Distance" queryTableFieldId="10" dataDxfId="12"/>
    <tableColumn id="11" xr3:uid="{6F0624F9-ECA0-4E81-86BB-2F6940CB194A}" uniqueName="11" name="Region" queryTableFieldId="11" dataDxfId="11"/>
    <tableColumn id="12" xr3:uid="{9CE471AB-B323-47FB-909B-B32A4851CC2E}" uniqueName="12" name="Age" queryTableFieldId="12"/>
    <tableColumn id="13" xr3:uid="{83C6A4D8-B776-4741-BAC1-3D011213672C}" uniqueName="13" name="Purcharged Bike" queryTableFieldId="13"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0CD25E-C07A-4763-A823-801A77F01AC4}" name="Sale_of_Bike4" displayName="Sale_of_Bike4" ref="A1:N51" tableType="queryTable" totalsRowShown="0">
  <autoFilter ref="A1:N51" xr:uid="{F30CD25E-C07A-4763-A823-801A77F01AC4}"/>
  <tableColumns count="14">
    <tableColumn id="1" xr3:uid="{D2591584-CE3F-4B94-9663-17D6B284E24C}" uniqueName="1" name="ID" queryTableFieldId="1"/>
    <tableColumn id="2" xr3:uid="{AE2F1205-3E3F-4CCC-9E2A-1E0CE5E63F88}" uniqueName="2" name="Maritial Status" queryTableFieldId="2" dataDxfId="9"/>
    <tableColumn id="3" xr3:uid="{E2A36931-C2DB-4383-9D98-0EFA6EEF4BAF}" uniqueName="3" name="Gender" queryTableFieldId="3" dataDxfId="8"/>
    <tableColumn id="4" xr3:uid="{733FAA4C-F876-4366-810C-FE4E5E3C74A1}" uniqueName="4" name="Income" queryTableFieldId="4" dataDxfId="7" dataCellStyle="Currency"/>
    <tableColumn id="5" xr3:uid="{2311097B-3440-4676-9123-F7C705A8DAF1}" uniqueName="5" name="Children" queryTableFieldId="5"/>
    <tableColumn id="6" xr3:uid="{A43CADB1-757B-4CA5-9D1F-9153D62C2203}" uniqueName="6" name="Education" queryTableFieldId="6" dataDxfId="6"/>
    <tableColumn id="7" xr3:uid="{7678D731-88DD-4C3F-B86B-2C8F875C2FFA}" uniqueName="7" name="Occupation" queryTableFieldId="7" dataDxfId="5"/>
    <tableColumn id="8" xr3:uid="{B07C0819-5BF1-4BC8-8F16-2E9B66A42018}" uniqueName="8" name="Home Owner" queryTableFieldId="8" dataDxfId="4"/>
    <tableColumn id="9" xr3:uid="{EAB6B758-0D87-4186-A75E-EA672FEBCB1D}" uniqueName="9" name="Car" queryTableFieldId="9"/>
    <tableColumn id="10" xr3:uid="{281C653B-9D0C-408D-9085-972A182BFCDE}" uniqueName="10" name="Commute Distance" queryTableFieldId="10" dataDxfId="3"/>
    <tableColumn id="11" xr3:uid="{36327F8B-5AED-4F4A-9A7A-A46FEBC75E43}" uniqueName="11" name="Region" queryTableFieldId="11" dataDxfId="2"/>
    <tableColumn id="12" xr3:uid="{5D78632E-6F1C-4E97-8A98-A5E0E75F2641}" uniqueName="12" name="Age" queryTableFieldId="12"/>
    <tableColumn id="14" xr3:uid="{375EFDD3-3438-4656-BF8C-1233FFC5B2CA}" uniqueName="14" name="Age Group" queryTableFieldId="14" dataDxfId="1">
      <calculatedColumnFormula>IF(Sale_of_Bike4[[#This Row],[Age]]&gt;=55, "Old Age",IF(Sale_of_Bike4[[#This Row],[Age]]&gt;=41,"Middle Age",IF(Sale_of_Bike4[[#This Row],[Age]]&lt;41,"Adolescent","Invalid")))</calculatedColumnFormula>
    </tableColumn>
    <tableColumn id="13" xr3:uid="{C8547DE1-C0FE-492D-BE3F-D94C2DD7EBF7}" uniqueName="13" name="Purcharged Bike"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BD6D6-E4B5-458A-A008-176BD3D3CA9F}">
  <dimension ref="A1:M51"/>
  <sheetViews>
    <sheetView workbookViewId="0">
      <selection activeCell="D19" sqref="D19"/>
    </sheetView>
  </sheetViews>
  <sheetFormatPr defaultRowHeight="14.4" x14ac:dyDescent="0.3"/>
  <cols>
    <col min="1" max="1" width="6" bestFit="1" customWidth="1"/>
    <col min="2" max="2" width="15.77734375" bestFit="1" customWidth="1"/>
    <col min="3" max="3" width="9.33203125" bestFit="1" customWidth="1"/>
    <col min="4" max="4" width="9.44140625" bestFit="1" customWidth="1"/>
    <col min="5" max="5" width="10.33203125" bestFit="1" customWidth="1"/>
    <col min="6" max="7" width="12.88671875" bestFit="1" customWidth="1"/>
    <col min="8" max="8" width="13.88671875" bestFit="1" customWidth="1"/>
    <col min="9" max="9" width="6.109375" bestFit="1" customWidth="1"/>
    <col min="10" max="10" width="19.21875" bestFit="1" customWidth="1"/>
    <col min="11" max="11" width="8.77734375" bestFit="1" customWidth="1"/>
    <col min="12" max="12" width="6.21875" bestFit="1" customWidth="1"/>
    <col min="13" max="13" width="16.77734375" bestFit="1" customWidth="1"/>
  </cols>
  <sheetData>
    <row r="1" spans="1:13" x14ac:dyDescent="0.3">
      <c r="A1" t="s">
        <v>0</v>
      </c>
      <c r="B1" t="s">
        <v>3</v>
      </c>
      <c r="C1" t="s">
        <v>4</v>
      </c>
      <c r="D1" t="s">
        <v>6</v>
      </c>
      <c r="E1" t="s">
        <v>7</v>
      </c>
      <c r="F1" t="s">
        <v>8</v>
      </c>
      <c r="G1" t="s">
        <v>11</v>
      </c>
      <c r="H1" t="s">
        <v>18</v>
      </c>
      <c r="I1" t="s">
        <v>20</v>
      </c>
      <c r="J1" t="s">
        <v>21</v>
      </c>
      <c r="K1" t="s">
        <v>27</v>
      </c>
      <c r="L1" t="s">
        <v>30</v>
      </c>
      <c r="M1" t="s">
        <v>31</v>
      </c>
    </row>
    <row r="2" spans="1:13" x14ac:dyDescent="0.3">
      <c r="A2">
        <v>12496</v>
      </c>
      <c r="B2" t="s">
        <v>1</v>
      </c>
      <c r="C2" t="s">
        <v>5</v>
      </c>
      <c r="D2">
        <v>40000</v>
      </c>
      <c r="E2">
        <v>2</v>
      </c>
      <c r="F2" t="s">
        <v>9</v>
      </c>
      <c r="G2" t="s">
        <v>12</v>
      </c>
      <c r="H2" t="s">
        <v>32</v>
      </c>
      <c r="I2">
        <v>0</v>
      </c>
      <c r="J2" t="s">
        <v>22</v>
      </c>
      <c r="K2" t="s">
        <v>28</v>
      </c>
      <c r="L2">
        <v>42</v>
      </c>
      <c r="M2" t="s">
        <v>19</v>
      </c>
    </row>
    <row r="3" spans="1:13" x14ac:dyDescent="0.3">
      <c r="A3">
        <v>12497</v>
      </c>
      <c r="B3" t="s">
        <v>1</v>
      </c>
      <c r="C3" t="s">
        <v>1</v>
      </c>
      <c r="D3">
        <v>40000</v>
      </c>
      <c r="E3">
        <v>4</v>
      </c>
      <c r="F3" t="s">
        <v>14</v>
      </c>
      <c r="G3" t="s">
        <v>15</v>
      </c>
      <c r="H3" t="s">
        <v>19</v>
      </c>
      <c r="I3">
        <v>2</v>
      </c>
      <c r="J3" t="s">
        <v>22</v>
      </c>
      <c r="K3" t="s">
        <v>28</v>
      </c>
      <c r="L3">
        <v>43</v>
      </c>
      <c r="M3" t="s">
        <v>19</v>
      </c>
    </row>
    <row r="4" spans="1:13" x14ac:dyDescent="0.3">
      <c r="A4">
        <v>12498</v>
      </c>
      <c r="B4" t="s">
        <v>1</v>
      </c>
      <c r="C4" t="s">
        <v>1</v>
      </c>
      <c r="D4">
        <v>40000</v>
      </c>
      <c r="E4">
        <v>0</v>
      </c>
      <c r="F4" t="s">
        <v>13</v>
      </c>
      <c r="G4" t="s">
        <v>16</v>
      </c>
      <c r="H4" t="s">
        <v>32</v>
      </c>
      <c r="I4">
        <v>1</v>
      </c>
      <c r="J4" t="s">
        <v>23</v>
      </c>
      <c r="K4" t="s">
        <v>28</v>
      </c>
      <c r="L4">
        <v>60</v>
      </c>
      <c r="M4" t="s">
        <v>19</v>
      </c>
    </row>
    <row r="5" spans="1:13" x14ac:dyDescent="0.3">
      <c r="A5">
        <v>12499</v>
      </c>
      <c r="B5" t="s">
        <v>1</v>
      </c>
      <c r="C5" t="s">
        <v>5</v>
      </c>
      <c r="D5">
        <v>70000</v>
      </c>
      <c r="E5">
        <v>4</v>
      </c>
      <c r="F5" t="s">
        <v>9</v>
      </c>
      <c r="G5" t="s">
        <v>16</v>
      </c>
      <c r="H5" t="s">
        <v>19</v>
      </c>
      <c r="I5">
        <v>2</v>
      </c>
      <c r="J5" t="s">
        <v>24</v>
      </c>
      <c r="K5" t="s">
        <v>29</v>
      </c>
      <c r="L5">
        <v>41</v>
      </c>
      <c r="M5" t="s">
        <v>19</v>
      </c>
    </row>
    <row r="6" spans="1:13" x14ac:dyDescent="0.3">
      <c r="A6">
        <v>12500</v>
      </c>
      <c r="B6" t="s">
        <v>2</v>
      </c>
      <c r="C6" t="s">
        <v>5</v>
      </c>
      <c r="D6">
        <v>90000</v>
      </c>
      <c r="E6">
        <v>0</v>
      </c>
      <c r="F6" t="s">
        <v>9</v>
      </c>
      <c r="G6" t="s">
        <v>15</v>
      </c>
      <c r="H6" t="s">
        <v>32</v>
      </c>
      <c r="I6">
        <v>3</v>
      </c>
      <c r="J6" t="s">
        <v>22</v>
      </c>
      <c r="K6" t="s">
        <v>28</v>
      </c>
      <c r="L6">
        <v>53</v>
      </c>
      <c r="M6" t="s">
        <v>19</v>
      </c>
    </row>
    <row r="7" spans="1:13" x14ac:dyDescent="0.3">
      <c r="A7">
        <v>12501</v>
      </c>
      <c r="B7" t="s">
        <v>2</v>
      </c>
      <c r="C7" t="s">
        <v>5</v>
      </c>
      <c r="D7">
        <v>70000</v>
      </c>
      <c r="E7">
        <v>0</v>
      </c>
      <c r="F7" t="s">
        <v>13</v>
      </c>
      <c r="G7" t="s">
        <v>12</v>
      </c>
      <c r="H7" t="s">
        <v>19</v>
      </c>
      <c r="I7">
        <v>0</v>
      </c>
      <c r="J7" t="s">
        <v>25</v>
      </c>
      <c r="K7" t="s">
        <v>28</v>
      </c>
      <c r="L7">
        <v>36</v>
      </c>
      <c r="M7" t="s">
        <v>19</v>
      </c>
    </row>
    <row r="8" spans="1:13" x14ac:dyDescent="0.3">
      <c r="A8">
        <v>12502</v>
      </c>
      <c r="B8" t="s">
        <v>2</v>
      </c>
      <c r="C8" t="s">
        <v>1</v>
      </c>
      <c r="D8">
        <v>90000</v>
      </c>
      <c r="E8">
        <v>0</v>
      </c>
      <c r="F8" t="s">
        <v>10</v>
      </c>
      <c r="G8" t="s">
        <v>17</v>
      </c>
      <c r="H8" t="s">
        <v>32</v>
      </c>
      <c r="I8">
        <v>0</v>
      </c>
      <c r="J8" t="s">
        <v>26</v>
      </c>
      <c r="K8" t="s">
        <v>29</v>
      </c>
      <c r="L8">
        <v>33</v>
      </c>
      <c r="M8" t="s">
        <v>19</v>
      </c>
    </row>
    <row r="9" spans="1:13" x14ac:dyDescent="0.3">
      <c r="A9">
        <v>12503</v>
      </c>
      <c r="B9" t="s">
        <v>2</v>
      </c>
      <c r="C9" t="s">
        <v>1</v>
      </c>
      <c r="D9">
        <v>70000</v>
      </c>
      <c r="E9">
        <v>0</v>
      </c>
      <c r="F9" t="s">
        <v>9</v>
      </c>
      <c r="G9" t="s">
        <v>12</v>
      </c>
      <c r="H9" t="s">
        <v>19</v>
      </c>
      <c r="I9">
        <v>0</v>
      </c>
      <c r="J9" t="s">
        <v>25</v>
      </c>
      <c r="K9" t="s">
        <v>28</v>
      </c>
      <c r="L9">
        <v>45</v>
      </c>
      <c r="M9" t="s">
        <v>19</v>
      </c>
    </row>
    <row r="10" spans="1:13" x14ac:dyDescent="0.3">
      <c r="A10">
        <v>12504</v>
      </c>
      <c r="B10" t="s">
        <v>1</v>
      </c>
      <c r="C10" t="s">
        <v>5</v>
      </c>
      <c r="D10">
        <v>90000</v>
      </c>
      <c r="E10">
        <v>0</v>
      </c>
      <c r="F10" t="s">
        <v>13</v>
      </c>
      <c r="G10" t="s">
        <v>15</v>
      </c>
      <c r="H10" t="s">
        <v>32</v>
      </c>
      <c r="I10">
        <v>0</v>
      </c>
      <c r="J10" t="s">
        <v>22</v>
      </c>
      <c r="K10" t="s">
        <v>29</v>
      </c>
      <c r="L10">
        <v>43</v>
      </c>
      <c r="M10" t="s">
        <v>32</v>
      </c>
    </row>
    <row r="11" spans="1:13" x14ac:dyDescent="0.3">
      <c r="A11">
        <v>12505</v>
      </c>
      <c r="B11" t="s">
        <v>2</v>
      </c>
      <c r="C11" t="s">
        <v>5</v>
      </c>
      <c r="D11">
        <v>70000</v>
      </c>
      <c r="E11">
        <v>0</v>
      </c>
      <c r="F11" t="s">
        <v>13</v>
      </c>
      <c r="G11" t="s">
        <v>16</v>
      </c>
      <c r="H11" t="s">
        <v>19</v>
      </c>
      <c r="I11">
        <v>0</v>
      </c>
      <c r="J11" t="s">
        <v>22</v>
      </c>
      <c r="K11" t="s">
        <v>28</v>
      </c>
      <c r="L11">
        <v>56</v>
      </c>
      <c r="M11" t="s">
        <v>32</v>
      </c>
    </row>
    <row r="12" spans="1:13" x14ac:dyDescent="0.3">
      <c r="A12">
        <v>12506</v>
      </c>
      <c r="B12" t="s">
        <v>1</v>
      </c>
      <c r="C12" t="s">
        <v>5</v>
      </c>
      <c r="D12">
        <v>90000</v>
      </c>
      <c r="E12">
        <v>2</v>
      </c>
      <c r="F12" t="s">
        <v>13</v>
      </c>
      <c r="G12" t="s">
        <v>16</v>
      </c>
      <c r="H12" t="s">
        <v>32</v>
      </c>
      <c r="I12">
        <v>0</v>
      </c>
      <c r="J12" t="s">
        <v>24</v>
      </c>
      <c r="K12" t="s">
        <v>29</v>
      </c>
      <c r="L12">
        <v>45</v>
      </c>
      <c r="M12" t="s">
        <v>32</v>
      </c>
    </row>
    <row r="13" spans="1:13" x14ac:dyDescent="0.3">
      <c r="A13">
        <v>12507</v>
      </c>
      <c r="B13" t="s">
        <v>2</v>
      </c>
      <c r="C13" t="s">
        <v>1</v>
      </c>
      <c r="D13">
        <v>70000</v>
      </c>
      <c r="E13">
        <v>2</v>
      </c>
      <c r="F13" t="s">
        <v>13</v>
      </c>
      <c r="G13" t="s">
        <v>15</v>
      </c>
      <c r="H13" t="s">
        <v>19</v>
      </c>
      <c r="I13">
        <v>0</v>
      </c>
      <c r="J13" t="s">
        <v>25</v>
      </c>
      <c r="K13" t="s">
        <v>28</v>
      </c>
      <c r="L13">
        <v>34</v>
      </c>
      <c r="M13" t="s">
        <v>19</v>
      </c>
    </row>
    <row r="14" spans="1:13" x14ac:dyDescent="0.3">
      <c r="A14">
        <v>12508</v>
      </c>
      <c r="B14" t="s">
        <v>1</v>
      </c>
      <c r="C14" t="s">
        <v>1</v>
      </c>
      <c r="D14">
        <v>90000</v>
      </c>
      <c r="E14">
        <v>2</v>
      </c>
      <c r="F14" t="s">
        <v>13</v>
      </c>
      <c r="G14" t="s">
        <v>12</v>
      </c>
      <c r="H14" t="s">
        <v>32</v>
      </c>
      <c r="I14">
        <v>2</v>
      </c>
      <c r="J14" t="s">
        <v>22</v>
      </c>
      <c r="K14" t="s">
        <v>29</v>
      </c>
      <c r="L14">
        <v>45</v>
      </c>
      <c r="M14" t="s">
        <v>32</v>
      </c>
    </row>
    <row r="15" spans="1:13" x14ac:dyDescent="0.3">
      <c r="A15">
        <v>12509</v>
      </c>
      <c r="B15" t="s">
        <v>1</v>
      </c>
      <c r="C15" t="s">
        <v>5</v>
      </c>
      <c r="D15">
        <v>70000</v>
      </c>
      <c r="E15">
        <v>2</v>
      </c>
      <c r="F15" t="s">
        <v>13</v>
      </c>
      <c r="G15" t="s">
        <v>17</v>
      </c>
      <c r="H15" t="s">
        <v>32</v>
      </c>
      <c r="I15">
        <v>1</v>
      </c>
      <c r="J15" t="s">
        <v>25</v>
      </c>
      <c r="K15" t="s">
        <v>28</v>
      </c>
      <c r="L15">
        <v>32</v>
      </c>
      <c r="M15" t="s">
        <v>19</v>
      </c>
    </row>
    <row r="16" spans="1:13" x14ac:dyDescent="0.3">
      <c r="A16">
        <v>12510</v>
      </c>
      <c r="B16" t="s">
        <v>2</v>
      </c>
      <c r="C16" t="s">
        <v>5</v>
      </c>
      <c r="D16">
        <v>90000</v>
      </c>
      <c r="E16">
        <v>2</v>
      </c>
      <c r="F16" t="s">
        <v>13</v>
      </c>
      <c r="G16" t="s">
        <v>12</v>
      </c>
      <c r="H16" t="s">
        <v>32</v>
      </c>
      <c r="I16">
        <v>1</v>
      </c>
      <c r="J16" t="s">
        <v>22</v>
      </c>
      <c r="K16" t="s">
        <v>29</v>
      </c>
      <c r="L16">
        <v>34</v>
      </c>
      <c r="M16" t="s">
        <v>32</v>
      </c>
    </row>
    <row r="17" spans="1:13" x14ac:dyDescent="0.3">
      <c r="A17">
        <v>12511</v>
      </c>
      <c r="B17" t="s">
        <v>2</v>
      </c>
      <c r="C17" t="s">
        <v>5</v>
      </c>
      <c r="D17">
        <v>90000</v>
      </c>
      <c r="E17">
        <v>2</v>
      </c>
      <c r="F17" t="s">
        <v>13</v>
      </c>
      <c r="G17" t="s">
        <v>15</v>
      </c>
      <c r="H17" t="s">
        <v>32</v>
      </c>
      <c r="I17">
        <v>1</v>
      </c>
      <c r="J17" t="s">
        <v>22</v>
      </c>
      <c r="K17" t="s">
        <v>28</v>
      </c>
      <c r="L17">
        <v>35</v>
      </c>
      <c r="M17" t="s">
        <v>19</v>
      </c>
    </row>
    <row r="18" spans="1:13" x14ac:dyDescent="0.3">
      <c r="A18">
        <v>12512</v>
      </c>
      <c r="B18" t="s">
        <v>2</v>
      </c>
      <c r="C18" t="s">
        <v>1</v>
      </c>
      <c r="D18">
        <v>90000</v>
      </c>
      <c r="E18">
        <v>2</v>
      </c>
      <c r="F18" t="s">
        <v>13</v>
      </c>
      <c r="G18" t="s">
        <v>16</v>
      </c>
      <c r="H18" t="s">
        <v>32</v>
      </c>
      <c r="I18">
        <v>1</v>
      </c>
      <c r="J18" t="s">
        <v>22</v>
      </c>
      <c r="K18" t="s">
        <v>29</v>
      </c>
      <c r="L18">
        <v>45</v>
      </c>
      <c r="M18" t="s">
        <v>19</v>
      </c>
    </row>
    <row r="19" spans="1:13" x14ac:dyDescent="0.3">
      <c r="A19">
        <v>12513</v>
      </c>
      <c r="B19" t="s">
        <v>2</v>
      </c>
      <c r="C19" t="s">
        <v>1</v>
      </c>
      <c r="D19">
        <v>90000</v>
      </c>
      <c r="E19">
        <v>1</v>
      </c>
      <c r="F19" t="s">
        <v>13</v>
      </c>
      <c r="G19" t="s">
        <v>16</v>
      </c>
      <c r="H19" t="s">
        <v>32</v>
      </c>
      <c r="I19">
        <v>1</v>
      </c>
      <c r="J19" t="s">
        <v>24</v>
      </c>
      <c r="K19" t="s">
        <v>28</v>
      </c>
      <c r="L19">
        <v>43</v>
      </c>
      <c r="M19" t="s">
        <v>32</v>
      </c>
    </row>
    <row r="20" spans="1:13" x14ac:dyDescent="0.3">
      <c r="A20">
        <v>12514</v>
      </c>
      <c r="B20" t="s">
        <v>2</v>
      </c>
      <c r="C20" t="s">
        <v>5</v>
      </c>
      <c r="D20">
        <v>90000</v>
      </c>
      <c r="E20">
        <v>1</v>
      </c>
      <c r="F20" t="s">
        <v>13</v>
      </c>
      <c r="G20" t="s">
        <v>15</v>
      </c>
      <c r="H20" t="s">
        <v>32</v>
      </c>
      <c r="I20">
        <v>1</v>
      </c>
      <c r="J20" t="s">
        <v>25</v>
      </c>
      <c r="K20" t="s">
        <v>29</v>
      </c>
      <c r="L20">
        <v>42</v>
      </c>
      <c r="M20" t="s">
        <v>19</v>
      </c>
    </row>
    <row r="21" spans="1:13" x14ac:dyDescent="0.3">
      <c r="A21">
        <v>12515</v>
      </c>
      <c r="B21" t="s">
        <v>2</v>
      </c>
      <c r="C21" t="s">
        <v>5</v>
      </c>
      <c r="D21">
        <v>90000</v>
      </c>
      <c r="E21">
        <v>1</v>
      </c>
      <c r="F21" t="s">
        <v>13</v>
      </c>
      <c r="G21" t="s">
        <v>12</v>
      </c>
      <c r="H21" t="s">
        <v>32</v>
      </c>
      <c r="I21">
        <v>1</v>
      </c>
      <c r="J21" t="s">
        <v>25</v>
      </c>
      <c r="K21" t="s">
        <v>28</v>
      </c>
      <c r="L21">
        <v>41</v>
      </c>
      <c r="M21" t="s">
        <v>19</v>
      </c>
    </row>
    <row r="22" spans="1:13" x14ac:dyDescent="0.3">
      <c r="A22">
        <v>12516</v>
      </c>
      <c r="B22" t="s">
        <v>2</v>
      </c>
      <c r="C22" t="s">
        <v>5</v>
      </c>
      <c r="D22">
        <v>90000</v>
      </c>
      <c r="E22">
        <v>1</v>
      </c>
      <c r="F22" t="s">
        <v>10</v>
      </c>
      <c r="G22" t="s">
        <v>17</v>
      </c>
      <c r="H22" t="s">
        <v>32</v>
      </c>
      <c r="I22">
        <v>2</v>
      </c>
      <c r="J22" t="s">
        <v>23</v>
      </c>
      <c r="K22" t="s">
        <v>29</v>
      </c>
      <c r="L22">
        <v>56</v>
      </c>
      <c r="M22" t="s">
        <v>32</v>
      </c>
    </row>
    <row r="23" spans="1:13" x14ac:dyDescent="0.3">
      <c r="A23">
        <v>12517</v>
      </c>
      <c r="B23" t="s">
        <v>2</v>
      </c>
      <c r="C23" t="s">
        <v>1</v>
      </c>
      <c r="D23">
        <v>90000</v>
      </c>
      <c r="E23">
        <v>1</v>
      </c>
      <c r="F23" t="s">
        <v>10</v>
      </c>
      <c r="G23" t="s">
        <v>12</v>
      </c>
      <c r="H23" t="s">
        <v>32</v>
      </c>
      <c r="I23">
        <v>3</v>
      </c>
      <c r="J23" t="s">
        <v>23</v>
      </c>
      <c r="K23" t="s">
        <v>28</v>
      </c>
      <c r="L23">
        <v>43</v>
      </c>
      <c r="M23" t="s">
        <v>32</v>
      </c>
    </row>
    <row r="24" spans="1:13" x14ac:dyDescent="0.3">
      <c r="A24">
        <v>12518</v>
      </c>
      <c r="B24" t="s">
        <v>2</v>
      </c>
      <c r="C24" t="s">
        <v>1</v>
      </c>
      <c r="D24">
        <v>90000</v>
      </c>
      <c r="E24">
        <v>1</v>
      </c>
      <c r="F24" t="s">
        <v>10</v>
      </c>
      <c r="G24" t="s">
        <v>15</v>
      </c>
      <c r="H24" t="s">
        <v>32</v>
      </c>
      <c r="I24">
        <v>1</v>
      </c>
      <c r="J24" t="s">
        <v>25</v>
      </c>
      <c r="K24" t="s">
        <v>29</v>
      </c>
      <c r="L24">
        <v>42</v>
      </c>
      <c r="M24" t="s">
        <v>32</v>
      </c>
    </row>
    <row r="25" spans="1:13" x14ac:dyDescent="0.3">
      <c r="A25">
        <v>12519</v>
      </c>
      <c r="B25" t="s">
        <v>2</v>
      </c>
      <c r="C25" t="s">
        <v>2</v>
      </c>
      <c r="D25">
        <v>90000</v>
      </c>
      <c r="E25">
        <v>1</v>
      </c>
      <c r="F25" t="s">
        <v>10</v>
      </c>
      <c r="G25" t="s">
        <v>16</v>
      </c>
      <c r="H25" t="s">
        <v>19</v>
      </c>
      <c r="I25">
        <v>1</v>
      </c>
      <c r="J25" t="s">
        <v>26</v>
      </c>
      <c r="K25" t="s">
        <v>28</v>
      </c>
      <c r="L25">
        <v>43</v>
      </c>
      <c r="M25" t="s">
        <v>19</v>
      </c>
    </row>
    <row r="26" spans="1:13" x14ac:dyDescent="0.3">
      <c r="A26">
        <v>12520</v>
      </c>
      <c r="B26" t="s">
        <v>2</v>
      </c>
      <c r="C26" t="s">
        <v>1</v>
      </c>
      <c r="D26">
        <v>90000</v>
      </c>
      <c r="E26">
        <v>1</v>
      </c>
      <c r="F26" t="s">
        <v>10</v>
      </c>
      <c r="G26" t="s">
        <v>16</v>
      </c>
      <c r="H26" t="s">
        <v>19</v>
      </c>
      <c r="I26">
        <v>1</v>
      </c>
      <c r="J26" t="s">
        <v>23</v>
      </c>
      <c r="K26" t="s">
        <v>29</v>
      </c>
      <c r="L26">
        <v>42</v>
      </c>
      <c r="M26" t="s">
        <v>32</v>
      </c>
    </row>
    <row r="27" spans="1:13" x14ac:dyDescent="0.3">
      <c r="A27">
        <v>12521</v>
      </c>
      <c r="B27" t="s">
        <v>1</v>
      </c>
      <c r="C27" t="s">
        <v>1</v>
      </c>
      <c r="D27">
        <v>90000</v>
      </c>
      <c r="E27">
        <v>3</v>
      </c>
      <c r="F27" t="s">
        <v>9</v>
      </c>
      <c r="G27" t="s">
        <v>15</v>
      </c>
      <c r="H27" t="s">
        <v>19</v>
      </c>
      <c r="I27">
        <v>1</v>
      </c>
      <c r="J27" t="s">
        <v>23</v>
      </c>
      <c r="K27" t="s">
        <v>28</v>
      </c>
      <c r="L27">
        <v>45</v>
      </c>
      <c r="M27" t="s">
        <v>32</v>
      </c>
    </row>
    <row r="28" spans="1:13" x14ac:dyDescent="0.3">
      <c r="A28">
        <v>12522</v>
      </c>
      <c r="B28" t="s">
        <v>2</v>
      </c>
      <c r="C28" t="s">
        <v>2</v>
      </c>
      <c r="D28">
        <v>90000</v>
      </c>
      <c r="E28">
        <v>2</v>
      </c>
      <c r="F28" t="s">
        <v>9</v>
      </c>
      <c r="G28" t="s">
        <v>12</v>
      </c>
      <c r="H28" t="s">
        <v>19</v>
      </c>
      <c r="I28">
        <v>1</v>
      </c>
      <c r="J28" t="s">
        <v>22</v>
      </c>
      <c r="K28" t="s">
        <v>29</v>
      </c>
      <c r="L28">
        <v>46</v>
      </c>
      <c r="M28" t="s">
        <v>19</v>
      </c>
    </row>
    <row r="29" spans="1:13" x14ac:dyDescent="0.3">
      <c r="A29">
        <v>12523</v>
      </c>
      <c r="B29" t="s">
        <v>1</v>
      </c>
      <c r="C29" t="s">
        <v>1</v>
      </c>
      <c r="D29">
        <v>65000</v>
      </c>
      <c r="E29">
        <v>4</v>
      </c>
      <c r="F29" t="s">
        <v>9</v>
      </c>
      <c r="G29" t="s">
        <v>17</v>
      </c>
      <c r="H29" t="s">
        <v>19</v>
      </c>
      <c r="I29">
        <v>1</v>
      </c>
      <c r="J29" t="s">
        <v>22</v>
      </c>
      <c r="K29" t="s">
        <v>28</v>
      </c>
      <c r="L29">
        <v>47</v>
      </c>
      <c r="M29" t="s">
        <v>32</v>
      </c>
    </row>
    <row r="30" spans="1:13" x14ac:dyDescent="0.3">
      <c r="A30">
        <v>12524</v>
      </c>
      <c r="B30" t="s">
        <v>2</v>
      </c>
      <c r="C30" t="s">
        <v>1</v>
      </c>
      <c r="D30">
        <v>65000</v>
      </c>
      <c r="E30">
        <v>6</v>
      </c>
      <c r="F30" t="s">
        <v>9</v>
      </c>
      <c r="G30" t="s">
        <v>12</v>
      </c>
      <c r="H30" t="s">
        <v>19</v>
      </c>
      <c r="I30">
        <v>1</v>
      </c>
      <c r="J30" t="s">
        <v>22</v>
      </c>
      <c r="K30" t="s">
        <v>29</v>
      </c>
      <c r="L30">
        <v>50</v>
      </c>
      <c r="M30" t="s">
        <v>19</v>
      </c>
    </row>
    <row r="31" spans="1:13" x14ac:dyDescent="0.3">
      <c r="A31">
        <v>12525</v>
      </c>
      <c r="B31" t="s">
        <v>1</v>
      </c>
      <c r="C31" t="s">
        <v>2</v>
      </c>
      <c r="D31">
        <v>65000</v>
      </c>
      <c r="E31">
        <v>2</v>
      </c>
      <c r="F31" t="s">
        <v>9</v>
      </c>
      <c r="G31" t="s">
        <v>15</v>
      </c>
      <c r="H31" t="s">
        <v>19</v>
      </c>
      <c r="I31">
        <v>0</v>
      </c>
      <c r="J31" t="s">
        <v>24</v>
      </c>
      <c r="K31" t="s">
        <v>29</v>
      </c>
      <c r="L31">
        <v>52</v>
      </c>
      <c r="M31" t="s">
        <v>32</v>
      </c>
    </row>
    <row r="32" spans="1:13" x14ac:dyDescent="0.3">
      <c r="A32">
        <v>12526</v>
      </c>
      <c r="B32" t="s">
        <v>2</v>
      </c>
      <c r="C32" t="s">
        <v>1</v>
      </c>
      <c r="D32">
        <v>65000</v>
      </c>
      <c r="E32">
        <v>2</v>
      </c>
      <c r="F32" t="s">
        <v>9</v>
      </c>
      <c r="G32" t="s">
        <v>16</v>
      </c>
      <c r="H32" t="s">
        <v>19</v>
      </c>
      <c r="I32">
        <v>0</v>
      </c>
      <c r="J32" t="s">
        <v>25</v>
      </c>
      <c r="K32" t="s">
        <v>28</v>
      </c>
      <c r="L32">
        <v>53</v>
      </c>
      <c r="M32" t="s">
        <v>32</v>
      </c>
    </row>
    <row r="33" spans="1:13" x14ac:dyDescent="0.3">
      <c r="A33">
        <v>12527</v>
      </c>
      <c r="B33" t="s">
        <v>1</v>
      </c>
      <c r="C33" t="s">
        <v>1</v>
      </c>
      <c r="D33">
        <v>65000</v>
      </c>
      <c r="E33">
        <v>2</v>
      </c>
      <c r="F33" t="s">
        <v>9</v>
      </c>
      <c r="G33" t="s">
        <v>16</v>
      </c>
      <c r="H33" t="s">
        <v>19</v>
      </c>
      <c r="I33">
        <v>0</v>
      </c>
      <c r="J33" t="s">
        <v>25</v>
      </c>
      <c r="K33" t="s">
        <v>29</v>
      </c>
      <c r="L33">
        <v>54</v>
      </c>
      <c r="M33" t="s">
        <v>32</v>
      </c>
    </row>
    <row r="34" spans="1:13" x14ac:dyDescent="0.3">
      <c r="A34">
        <v>12528</v>
      </c>
      <c r="B34" t="s">
        <v>2</v>
      </c>
      <c r="C34" t="s">
        <v>2</v>
      </c>
      <c r="D34">
        <v>65000</v>
      </c>
      <c r="E34">
        <v>2</v>
      </c>
      <c r="F34" t="s">
        <v>9</v>
      </c>
      <c r="G34" t="s">
        <v>15</v>
      </c>
      <c r="H34" t="s">
        <v>19</v>
      </c>
      <c r="I34">
        <v>0</v>
      </c>
      <c r="J34" t="s">
        <v>23</v>
      </c>
      <c r="K34" t="s">
        <v>28</v>
      </c>
      <c r="L34">
        <v>56</v>
      </c>
      <c r="M34" t="s">
        <v>32</v>
      </c>
    </row>
    <row r="35" spans="1:13" x14ac:dyDescent="0.3">
      <c r="A35">
        <v>12529</v>
      </c>
      <c r="B35" t="s">
        <v>1</v>
      </c>
      <c r="C35" t="s">
        <v>1</v>
      </c>
      <c r="D35">
        <v>65000</v>
      </c>
      <c r="E35">
        <v>2</v>
      </c>
      <c r="F35" t="s">
        <v>9</v>
      </c>
      <c r="G35" t="s">
        <v>12</v>
      </c>
      <c r="H35" t="s">
        <v>19</v>
      </c>
      <c r="I35">
        <v>0</v>
      </c>
      <c r="J35" t="s">
        <v>22</v>
      </c>
      <c r="K35" t="s">
        <v>29</v>
      </c>
      <c r="L35">
        <v>59</v>
      </c>
      <c r="M35" t="s">
        <v>32</v>
      </c>
    </row>
    <row r="36" spans="1:13" x14ac:dyDescent="0.3">
      <c r="A36">
        <v>12530</v>
      </c>
      <c r="B36" t="s">
        <v>2</v>
      </c>
      <c r="C36" t="s">
        <v>1</v>
      </c>
      <c r="D36">
        <v>65000</v>
      </c>
      <c r="E36">
        <v>2</v>
      </c>
      <c r="F36" t="s">
        <v>9</v>
      </c>
      <c r="G36" t="s">
        <v>17</v>
      </c>
      <c r="H36" t="s">
        <v>19</v>
      </c>
      <c r="I36">
        <v>0</v>
      </c>
      <c r="J36" t="s">
        <v>23</v>
      </c>
      <c r="K36" t="s">
        <v>28</v>
      </c>
      <c r="L36">
        <v>40</v>
      </c>
      <c r="M36" t="s">
        <v>19</v>
      </c>
    </row>
    <row r="37" spans="1:13" x14ac:dyDescent="0.3">
      <c r="A37">
        <v>12531</v>
      </c>
      <c r="B37" t="s">
        <v>1</v>
      </c>
      <c r="C37" t="s">
        <v>2</v>
      </c>
      <c r="D37">
        <v>7800000</v>
      </c>
      <c r="E37">
        <v>2</v>
      </c>
      <c r="F37" t="s">
        <v>9</v>
      </c>
      <c r="G37" t="s">
        <v>12</v>
      </c>
      <c r="H37" t="s">
        <v>19</v>
      </c>
      <c r="I37">
        <v>0</v>
      </c>
      <c r="J37" t="s">
        <v>24</v>
      </c>
      <c r="K37" t="s">
        <v>28</v>
      </c>
      <c r="L37">
        <v>41</v>
      </c>
      <c r="M37" t="s">
        <v>19</v>
      </c>
    </row>
    <row r="38" spans="1:13" x14ac:dyDescent="0.3">
      <c r="A38">
        <v>12532</v>
      </c>
      <c r="B38" t="s">
        <v>2</v>
      </c>
      <c r="C38" t="s">
        <v>1</v>
      </c>
      <c r="D38">
        <v>7800001</v>
      </c>
      <c r="E38">
        <v>2</v>
      </c>
      <c r="F38" t="s">
        <v>9</v>
      </c>
      <c r="G38" t="s">
        <v>15</v>
      </c>
      <c r="H38" t="s">
        <v>19</v>
      </c>
      <c r="I38">
        <v>0</v>
      </c>
      <c r="J38" t="s">
        <v>25</v>
      </c>
      <c r="K38" t="s">
        <v>28</v>
      </c>
      <c r="L38">
        <v>42</v>
      </c>
      <c r="M38" t="s">
        <v>19</v>
      </c>
    </row>
    <row r="39" spans="1:13" x14ac:dyDescent="0.3">
      <c r="A39">
        <v>12533</v>
      </c>
      <c r="B39" t="s">
        <v>1</v>
      </c>
      <c r="C39" t="s">
        <v>1</v>
      </c>
      <c r="D39">
        <v>7800002</v>
      </c>
      <c r="E39">
        <v>2</v>
      </c>
      <c r="F39" t="s">
        <v>10</v>
      </c>
      <c r="G39" t="s">
        <v>16</v>
      </c>
      <c r="H39" t="s">
        <v>19</v>
      </c>
      <c r="I39">
        <v>0</v>
      </c>
      <c r="J39" t="s">
        <v>22</v>
      </c>
      <c r="K39" t="s">
        <v>28</v>
      </c>
      <c r="L39">
        <v>43</v>
      </c>
      <c r="M39" t="s">
        <v>19</v>
      </c>
    </row>
    <row r="40" spans="1:13" x14ac:dyDescent="0.3">
      <c r="A40">
        <v>12534</v>
      </c>
      <c r="B40" t="s">
        <v>2</v>
      </c>
      <c r="C40" t="s">
        <v>2</v>
      </c>
      <c r="D40">
        <v>7800003</v>
      </c>
      <c r="E40">
        <v>2</v>
      </c>
      <c r="F40" t="s">
        <v>10</v>
      </c>
      <c r="G40" t="s">
        <v>16</v>
      </c>
      <c r="H40" t="s">
        <v>19</v>
      </c>
      <c r="I40">
        <v>0</v>
      </c>
      <c r="J40" t="s">
        <v>25</v>
      </c>
      <c r="K40" t="s">
        <v>28</v>
      </c>
      <c r="L40">
        <v>42</v>
      </c>
      <c r="M40" t="s">
        <v>32</v>
      </c>
    </row>
    <row r="41" spans="1:13" x14ac:dyDescent="0.3">
      <c r="A41">
        <v>12535</v>
      </c>
      <c r="B41" t="s">
        <v>1</v>
      </c>
      <c r="C41" t="s">
        <v>1</v>
      </c>
      <c r="D41">
        <v>7800004</v>
      </c>
      <c r="E41">
        <v>2</v>
      </c>
      <c r="F41" t="s">
        <v>10</v>
      </c>
      <c r="G41" t="s">
        <v>15</v>
      </c>
      <c r="H41" t="s">
        <v>32</v>
      </c>
      <c r="I41">
        <v>1</v>
      </c>
      <c r="J41" t="s">
        <v>22</v>
      </c>
      <c r="K41" t="s">
        <v>28</v>
      </c>
      <c r="L41">
        <v>43</v>
      </c>
      <c r="M41" t="s">
        <v>32</v>
      </c>
    </row>
    <row r="42" spans="1:13" x14ac:dyDescent="0.3">
      <c r="A42">
        <v>12536</v>
      </c>
      <c r="B42" t="s">
        <v>2</v>
      </c>
      <c r="C42" t="s">
        <v>1</v>
      </c>
      <c r="D42">
        <v>7800005</v>
      </c>
      <c r="E42">
        <v>1</v>
      </c>
      <c r="F42" t="s">
        <v>10</v>
      </c>
      <c r="G42" t="s">
        <v>12</v>
      </c>
      <c r="H42" t="s">
        <v>19</v>
      </c>
      <c r="I42">
        <v>1</v>
      </c>
      <c r="J42" t="s">
        <v>24</v>
      </c>
      <c r="K42" t="s">
        <v>28</v>
      </c>
      <c r="L42">
        <v>45</v>
      </c>
      <c r="M42" t="s">
        <v>32</v>
      </c>
    </row>
    <row r="43" spans="1:13" x14ac:dyDescent="0.3">
      <c r="A43">
        <v>12537</v>
      </c>
      <c r="B43" t="s">
        <v>1</v>
      </c>
      <c r="C43" t="s">
        <v>2</v>
      </c>
      <c r="D43">
        <v>7800006</v>
      </c>
      <c r="E43">
        <v>1</v>
      </c>
      <c r="F43" t="s">
        <v>9</v>
      </c>
      <c r="G43" t="s">
        <v>17</v>
      </c>
      <c r="H43" t="s">
        <v>32</v>
      </c>
      <c r="I43">
        <v>1</v>
      </c>
      <c r="J43" t="s">
        <v>23</v>
      </c>
      <c r="K43" t="s">
        <v>28</v>
      </c>
      <c r="L43">
        <v>45</v>
      </c>
      <c r="M43" t="s">
        <v>32</v>
      </c>
    </row>
    <row r="44" spans="1:13" x14ac:dyDescent="0.3">
      <c r="A44">
        <v>12538</v>
      </c>
      <c r="B44" t="s">
        <v>2</v>
      </c>
      <c r="C44" t="s">
        <v>1</v>
      </c>
      <c r="D44">
        <v>7800007</v>
      </c>
      <c r="E44">
        <v>1</v>
      </c>
      <c r="F44" t="s">
        <v>13</v>
      </c>
      <c r="G44" t="s">
        <v>12</v>
      </c>
      <c r="H44" t="s">
        <v>19</v>
      </c>
      <c r="I44">
        <v>1</v>
      </c>
      <c r="J44" t="s">
        <v>22</v>
      </c>
      <c r="K44" t="s">
        <v>28</v>
      </c>
      <c r="L44">
        <v>43</v>
      </c>
      <c r="M44" t="s">
        <v>32</v>
      </c>
    </row>
    <row r="45" spans="1:13" x14ac:dyDescent="0.3">
      <c r="A45">
        <v>12539</v>
      </c>
      <c r="B45" t="s">
        <v>1</v>
      </c>
      <c r="C45" t="s">
        <v>1</v>
      </c>
      <c r="D45">
        <v>7800008</v>
      </c>
      <c r="E45">
        <v>1</v>
      </c>
      <c r="F45" t="s">
        <v>10</v>
      </c>
      <c r="G45" t="s">
        <v>15</v>
      </c>
      <c r="H45" t="s">
        <v>32</v>
      </c>
      <c r="I45">
        <v>1</v>
      </c>
      <c r="J45" t="s">
        <v>22</v>
      </c>
      <c r="K45" t="s">
        <v>28</v>
      </c>
      <c r="L45">
        <v>42</v>
      </c>
      <c r="M45" t="s">
        <v>32</v>
      </c>
    </row>
    <row r="46" spans="1:13" x14ac:dyDescent="0.3">
      <c r="A46">
        <v>12540</v>
      </c>
      <c r="B46" t="s">
        <v>2</v>
      </c>
      <c r="C46" t="s">
        <v>2</v>
      </c>
      <c r="D46">
        <v>7800009</v>
      </c>
      <c r="E46">
        <v>1</v>
      </c>
      <c r="F46" t="s">
        <v>13</v>
      </c>
      <c r="G46" t="s">
        <v>16</v>
      </c>
      <c r="H46" t="s">
        <v>19</v>
      </c>
      <c r="I46">
        <v>1</v>
      </c>
      <c r="J46" t="s">
        <v>24</v>
      </c>
      <c r="K46" t="s">
        <v>29</v>
      </c>
      <c r="L46">
        <v>43</v>
      </c>
      <c r="M46" t="s">
        <v>19</v>
      </c>
    </row>
    <row r="47" spans="1:13" x14ac:dyDescent="0.3">
      <c r="A47">
        <v>12541</v>
      </c>
      <c r="B47" t="s">
        <v>1</v>
      </c>
      <c r="C47" t="s">
        <v>1</v>
      </c>
      <c r="D47">
        <v>96000</v>
      </c>
      <c r="E47">
        <v>1</v>
      </c>
      <c r="F47" t="s">
        <v>9</v>
      </c>
      <c r="G47" t="s">
        <v>16</v>
      </c>
      <c r="H47" t="s">
        <v>32</v>
      </c>
      <c r="I47">
        <v>1</v>
      </c>
      <c r="J47" t="s">
        <v>23</v>
      </c>
      <c r="K47" t="s">
        <v>29</v>
      </c>
      <c r="L47">
        <v>32</v>
      </c>
      <c r="M47" t="s">
        <v>19</v>
      </c>
    </row>
    <row r="48" spans="1:13" x14ac:dyDescent="0.3">
      <c r="A48">
        <v>12542</v>
      </c>
      <c r="B48" t="s">
        <v>2</v>
      </c>
      <c r="C48" t="s">
        <v>1</v>
      </c>
      <c r="D48">
        <v>96000</v>
      </c>
      <c r="E48">
        <v>1</v>
      </c>
      <c r="F48" t="s">
        <v>13</v>
      </c>
      <c r="G48" t="s">
        <v>15</v>
      </c>
      <c r="H48" t="s">
        <v>19</v>
      </c>
      <c r="I48">
        <v>0</v>
      </c>
      <c r="J48" t="s">
        <v>24</v>
      </c>
      <c r="K48" t="s">
        <v>29</v>
      </c>
      <c r="L48">
        <v>34</v>
      </c>
      <c r="M48" t="s">
        <v>19</v>
      </c>
    </row>
    <row r="49" spans="1:13" x14ac:dyDescent="0.3">
      <c r="A49">
        <v>12543</v>
      </c>
      <c r="B49" t="s">
        <v>1</v>
      </c>
      <c r="C49" t="s">
        <v>2</v>
      </c>
      <c r="D49">
        <v>96000</v>
      </c>
      <c r="E49">
        <v>1</v>
      </c>
      <c r="F49" t="s">
        <v>10</v>
      </c>
      <c r="G49" t="s">
        <v>12</v>
      </c>
      <c r="H49" t="s">
        <v>32</v>
      </c>
      <c r="I49">
        <v>1</v>
      </c>
      <c r="J49" t="s">
        <v>23</v>
      </c>
      <c r="K49" t="s">
        <v>28</v>
      </c>
      <c r="L49">
        <v>32</v>
      </c>
      <c r="M49" t="s">
        <v>19</v>
      </c>
    </row>
    <row r="50" spans="1:13" x14ac:dyDescent="0.3">
      <c r="A50">
        <v>12544</v>
      </c>
      <c r="B50" t="s">
        <v>2</v>
      </c>
      <c r="C50" t="s">
        <v>1</v>
      </c>
      <c r="D50">
        <v>96000</v>
      </c>
      <c r="E50">
        <v>1</v>
      </c>
      <c r="F50" t="s">
        <v>9</v>
      </c>
      <c r="G50" t="s">
        <v>17</v>
      </c>
      <c r="H50" t="s">
        <v>19</v>
      </c>
      <c r="I50">
        <v>2</v>
      </c>
      <c r="J50" t="s">
        <v>23</v>
      </c>
      <c r="K50" t="s">
        <v>29</v>
      </c>
      <c r="L50">
        <v>34</v>
      </c>
      <c r="M50" t="s">
        <v>19</v>
      </c>
    </row>
    <row r="51" spans="1:13" x14ac:dyDescent="0.3">
      <c r="A51">
        <v>12545</v>
      </c>
      <c r="B51" t="s">
        <v>1</v>
      </c>
      <c r="C51" t="s">
        <v>1</v>
      </c>
      <c r="D51">
        <v>96000</v>
      </c>
      <c r="E51">
        <v>1</v>
      </c>
      <c r="F51" t="s">
        <v>13</v>
      </c>
      <c r="G51" t="s">
        <v>12</v>
      </c>
      <c r="H51" t="s">
        <v>32</v>
      </c>
      <c r="I51">
        <v>3</v>
      </c>
      <c r="J51" t="s">
        <v>23</v>
      </c>
      <c r="K51" t="s">
        <v>28</v>
      </c>
      <c r="L51">
        <v>32</v>
      </c>
      <c r="M5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D68F-8FB8-4E4C-802C-3A26C6C1DF97}">
  <dimension ref="A1:N51"/>
  <sheetViews>
    <sheetView topLeftCell="A2" workbookViewId="0"/>
  </sheetViews>
  <sheetFormatPr defaultColWidth="15.21875" defaultRowHeight="14.4" x14ac:dyDescent="0.3"/>
  <cols>
    <col min="4" max="4" width="15.21875" style="1"/>
    <col min="10" max="10" width="19" customWidth="1"/>
  </cols>
  <sheetData>
    <row r="1" spans="1:14" x14ac:dyDescent="0.3">
      <c r="A1" t="s">
        <v>0</v>
      </c>
      <c r="B1" t="s">
        <v>38</v>
      </c>
      <c r="C1" t="s">
        <v>4</v>
      </c>
      <c r="D1" s="1" t="s">
        <v>6</v>
      </c>
      <c r="E1" t="s">
        <v>7</v>
      </c>
      <c r="F1" t="s">
        <v>8</v>
      </c>
      <c r="G1" t="s">
        <v>11</v>
      </c>
      <c r="H1" t="s">
        <v>18</v>
      </c>
      <c r="I1" t="s">
        <v>20</v>
      </c>
      <c r="J1" t="s">
        <v>21</v>
      </c>
      <c r="K1" t="s">
        <v>27</v>
      </c>
      <c r="L1" t="s">
        <v>30</v>
      </c>
      <c r="M1" t="s">
        <v>37</v>
      </c>
      <c r="N1" t="s">
        <v>31</v>
      </c>
    </row>
    <row r="2" spans="1:14" x14ac:dyDescent="0.3">
      <c r="A2">
        <v>12496</v>
      </c>
      <c r="B2" t="s">
        <v>34</v>
      </c>
      <c r="C2" t="s">
        <v>36</v>
      </c>
      <c r="D2" s="1">
        <v>40000</v>
      </c>
      <c r="E2">
        <v>2</v>
      </c>
      <c r="F2" t="s">
        <v>9</v>
      </c>
      <c r="G2" t="s">
        <v>12</v>
      </c>
      <c r="H2" t="s">
        <v>32</v>
      </c>
      <c r="I2">
        <v>0</v>
      </c>
      <c r="J2" t="s">
        <v>22</v>
      </c>
      <c r="K2" t="s">
        <v>28</v>
      </c>
      <c r="L2">
        <v>42</v>
      </c>
      <c r="M2" t="str">
        <f>IF(Sale_of_Bike4[[#This Row],[Age]]&gt;=55, "Old Age",IF(Sale_of_Bike4[[#This Row],[Age]]&gt;=41,"Middle Age",IF(Sale_of_Bike4[[#This Row],[Age]]&lt;41,"Adolescent","Invalid")))</f>
        <v>Middle Age</v>
      </c>
      <c r="N2" t="s">
        <v>19</v>
      </c>
    </row>
    <row r="3" spans="1:14" x14ac:dyDescent="0.3">
      <c r="A3">
        <v>12497</v>
      </c>
      <c r="B3" t="s">
        <v>34</v>
      </c>
      <c r="C3" t="s">
        <v>35</v>
      </c>
      <c r="D3" s="1">
        <v>40000</v>
      </c>
      <c r="E3">
        <v>4</v>
      </c>
      <c r="F3" t="s">
        <v>14</v>
      </c>
      <c r="G3" t="s">
        <v>15</v>
      </c>
      <c r="H3" t="s">
        <v>19</v>
      </c>
      <c r="I3">
        <v>2</v>
      </c>
      <c r="J3" t="s">
        <v>22</v>
      </c>
      <c r="K3" t="s">
        <v>28</v>
      </c>
      <c r="L3">
        <v>43</v>
      </c>
      <c r="M3" t="str">
        <f>IF(Sale_of_Bike4[[#This Row],[Age]]&gt;=55, "Old Age",IF(Sale_of_Bike4[[#This Row],[Age]]&gt;=41,"Middle Age",IF(Sale_of_Bike4[[#This Row],[Age]]&lt;41,"Adolescent","Invalid")))</f>
        <v>Middle Age</v>
      </c>
      <c r="N3" t="s">
        <v>19</v>
      </c>
    </row>
    <row r="4" spans="1:14" x14ac:dyDescent="0.3">
      <c r="A4">
        <v>12498</v>
      </c>
      <c r="B4" t="s">
        <v>34</v>
      </c>
      <c r="C4" t="s">
        <v>35</v>
      </c>
      <c r="D4" s="1">
        <v>40000</v>
      </c>
      <c r="E4">
        <v>0</v>
      </c>
      <c r="F4" t="s">
        <v>13</v>
      </c>
      <c r="G4" t="s">
        <v>16</v>
      </c>
      <c r="H4" t="s">
        <v>32</v>
      </c>
      <c r="I4">
        <v>1</v>
      </c>
      <c r="J4" t="s">
        <v>23</v>
      </c>
      <c r="K4" t="s">
        <v>28</v>
      </c>
      <c r="L4">
        <v>60</v>
      </c>
      <c r="M4" t="str">
        <f>IF(Sale_of_Bike4[[#This Row],[Age]]&gt;=55, "Old Age",IF(Sale_of_Bike4[[#This Row],[Age]]&gt;=41,"Middle Age",IF(Sale_of_Bike4[[#This Row],[Age]]&lt;41,"Adolescent","Invalid")))</f>
        <v>Old Age</v>
      </c>
      <c r="N4" t="s">
        <v>19</v>
      </c>
    </row>
    <row r="5" spans="1:14" x14ac:dyDescent="0.3">
      <c r="A5">
        <v>12499</v>
      </c>
      <c r="B5" t="s">
        <v>34</v>
      </c>
      <c r="C5" t="s">
        <v>36</v>
      </c>
      <c r="D5" s="1">
        <v>70000</v>
      </c>
      <c r="E5">
        <v>4</v>
      </c>
      <c r="F5" t="s">
        <v>9</v>
      </c>
      <c r="G5" t="s">
        <v>16</v>
      </c>
      <c r="H5" t="s">
        <v>19</v>
      </c>
      <c r="I5">
        <v>2</v>
      </c>
      <c r="J5" t="s">
        <v>24</v>
      </c>
      <c r="K5" t="s">
        <v>29</v>
      </c>
      <c r="L5">
        <v>41</v>
      </c>
      <c r="M5" t="str">
        <f>IF(Sale_of_Bike4[[#This Row],[Age]]&gt;=55, "Old Age",IF(Sale_of_Bike4[[#This Row],[Age]]&gt;=41,"Middle Age",IF(Sale_of_Bike4[[#This Row],[Age]]&lt;41,"Adolescent","Invalid")))</f>
        <v>Middle Age</v>
      </c>
      <c r="N5" t="s">
        <v>19</v>
      </c>
    </row>
    <row r="6" spans="1:14" x14ac:dyDescent="0.3">
      <c r="A6">
        <v>12500</v>
      </c>
      <c r="B6" t="s">
        <v>33</v>
      </c>
      <c r="C6" t="s">
        <v>36</v>
      </c>
      <c r="D6" s="1">
        <v>90000</v>
      </c>
      <c r="E6">
        <v>0</v>
      </c>
      <c r="F6" t="s">
        <v>9</v>
      </c>
      <c r="G6" t="s">
        <v>15</v>
      </c>
      <c r="H6" t="s">
        <v>32</v>
      </c>
      <c r="I6">
        <v>3</v>
      </c>
      <c r="J6" t="s">
        <v>22</v>
      </c>
      <c r="K6" t="s">
        <v>28</v>
      </c>
      <c r="L6">
        <v>53</v>
      </c>
      <c r="M6" t="str">
        <f>IF(Sale_of_Bike4[[#This Row],[Age]]&gt;=55, "Old Age",IF(Sale_of_Bike4[[#This Row],[Age]]&gt;=41,"Middle Age",IF(Sale_of_Bike4[[#This Row],[Age]]&lt;41,"Adolescent","Invalid")))</f>
        <v>Middle Age</v>
      </c>
      <c r="N6" t="s">
        <v>19</v>
      </c>
    </row>
    <row r="7" spans="1:14" x14ac:dyDescent="0.3">
      <c r="A7">
        <v>12501</v>
      </c>
      <c r="B7" t="s">
        <v>33</v>
      </c>
      <c r="C7" t="s">
        <v>36</v>
      </c>
      <c r="D7" s="1">
        <v>70000</v>
      </c>
      <c r="E7">
        <v>0</v>
      </c>
      <c r="F7" t="s">
        <v>13</v>
      </c>
      <c r="G7" t="s">
        <v>12</v>
      </c>
      <c r="H7" t="s">
        <v>19</v>
      </c>
      <c r="I7">
        <v>0</v>
      </c>
      <c r="J7" t="s">
        <v>25</v>
      </c>
      <c r="K7" t="s">
        <v>28</v>
      </c>
      <c r="L7">
        <v>36</v>
      </c>
      <c r="M7" t="str">
        <f>IF(Sale_of_Bike4[[#This Row],[Age]]&gt;=55, "Old Age",IF(Sale_of_Bike4[[#This Row],[Age]]&gt;=41,"Middle Age",IF(Sale_of_Bike4[[#This Row],[Age]]&lt;41,"Adolescent","Invalid")))</f>
        <v>Adolescent</v>
      </c>
      <c r="N7" t="s">
        <v>19</v>
      </c>
    </row>
    <row r="8" spans="1:14" x14ac:dyDescent="0.3">
      <c r="A8">
        <v>12502</v>
      </c>
      <c r="B8" t="s">
        <v>33</v>
      </c>
      <c r="C8" t="s">
        <v>35</v>
      </c>
      <c r="D8" s="1">
        <v>90000</v>
      </c>
      <c r="E8">
        <v>0</v>
      </c>
      <c r="F8" t="s">
        <v>10</v>
      </c>
      <c r="G8" t="s">
        <v>17</v>
      </c>
      <c r="H8" t="s">
        <v>32</v>
      </c>
      <c r="I8">
        <v>0</v>
      </c>
      <c r="J8" t="s">
        <v>48</v>
      </c>
      <c r="K8" t="s">
        <v>29</v>
      </c>
      <c r="L8">
        <v>33</v>
      </c>
      <c r="M8" t="str">
        <f>IF(Sale_of_Bike4[[#This Row],[Age]]&gt;=55, "Old Age",IF(Sale_of_Bike4[[#This Row],[Age]]&gt;=41,"Middle Age",IF(Sale_of_Bike4[[#This Row],[Age]]&lt;41,"Adolescent","Invalid")))</f>
        <v>Adolescent</v>
      </c>
      <c r="N8" t="s">
        <v>19</v>
      </c>
    </row>
    <row r="9" spans="1:14" x14ac:dyDescent="0.3">
      <c r="A9">
        <v>12503</v>
      </c>
      <c r="B9" t="s">
        <v>33</v>
      </c>
      <c r="C9" t="s">
        <v>35</v>
      </c>
      <c r="D9" s="1">
        <v>70000</v>
      </c>
      <c r="E9">
        <v>0</v>
      </c>
      <c r="F9" t="s">
        <v>9</v>
      </c>
      <c r="G9" t="s">
        <v>12</v>
      </c>
      <c r="H9" t="s">
        <v>19</v>
      </c>
      <c r="I9">
        <v>0</v>
      </c>
      <c r="J9" t="s">
        <v>25</v>
      </c>
      <c r="K9" t="s">
        <v>28</v>
      </c>
      <c r="L9">
        <v>45</v>
      </c>
      <c r="M9" t="str">
        <f>IF(Sale_of_Bike4[[#This Row],[Age]]&gt;=55, "Old Age",IF(Sale_of_Bike4[[#This Row],[Age]]&gt;=41,"Middle Age",IF(Sale_of_Bike4[[#This Row],[Age]]&lt;41,"Adolescent","Invalid")))</f>
        <v>Middle Age</v>
      </c>
      <c r="N9" t="s">
        <v>19</v>
      </c>
    </row>
    <row r="10" spans="1:14" x14ac:dyDescent="0.3">
      <c r="A10">
        <v>12504</v>
      </c>
      <c r="B10" t="s">
        <v>34</v>
      </c>
      <c r="C10" t="s">
        <v>36</v>
      </c>
      <c r="D10" s="1">
        <v>90000</v>
      </c>
      <c r="E10">
        <v>0</v>
      </c>
      <c r="F10" t="s">
        <v>13</v>
      </c>
      <c r="G10" t="s">
        <v>15</v>
      </c>
      <c r="H10" t="s">
        <v>32</v>
      </c>
      <c r="I10">
        <v>0</v>
      </c>
      <c r="J10" t="s">
        <v>22</v>
      </c>
      <c r="K10" t="s">
        <v>29</v>
      </c>
      <c r="L10">
        <v>43</v>
      </c>
      <c r="M10" t="str">
        <f>IF(Sale_of_Bike4[[#This Row],[Age]]&gt;=55, "Old Age",IF(Sale_of_Bike4[[#This Row],[Age]]&gt;=41,"Middle Age",IF(Sale_of_Bike4[[#This Row],[Age]]&lt;41,"Adolescent","Invalid")))</f>
        <v>Middle Age</v>
      </c>
      <c r="N10" t="s">
        <v>32</v>
      </c>
    </row>
    <row r="11" spans="1:14" x14ac:dyDescent="0.3">
      <c r="A11">
        <v>12505</v>
      </c>
      <c r="B11" t="s">
        <v>33</v>
      </c>
      <c r="C11" t="s">
        <v>36</v>
      </c>
      <c r="D11" s="1">
        <v>70000</v>
      </c>
      <c r="E11">
        <v>0</v>
      </c>
      <c r="F11" t="s">
        <v>13</v>
      </c>
      <c r="G11" t="s">
        <v>16</v>
      </c>
      <c r="H11" t="s">
        <v>19</v>
      </c>
      <c r="I11">
        <v>0</v>
      </c>
      <c r="J11" t="s">
        <v>22</v>
      </c>
      <c r="K11" t="s">
        <v>28</v>
      </c>
      <c r="L11">
        <v>56</v>
      </c>
      <c r="M11" t="str">
        <f>IF(Sale_of_Bike4[[#This Row],[Age]]&gt;=55, "Old Age",IF(Sale_of_Bike4[[#This Row],[Age]]&gt;=41,"Middle Age",IF(Sale_of_Bike4[[#This Row],[Age]]&lt;41,"Adolescent","Invalid")))</f>
        <v>Old Age</v>
      </c>
      <c r="N11" t="s">
        <v>32</v>
      </c>
    </row>
    <row r="12" spans="1:14" x14ac:dyDescent="0.3">
      <c r="A12">
        <v>12506</v>
      </c>
      <c r="B12" t="s">
        <v>34</v>
      </c>
      <c r="C12" t="s">
        <v>36</v>
      </c>
      <c r="D12" s="1">
        <v>90000</v>
      </c>
      <c r="E12">
        <v>2</v>
      </c>
      <c r="F12" t="s">
        <v>13</v>
      </c>
      <c r="G12" t="s">
        <v>16</v>
      </c>
      <c r="H12" t="s">
        <v>32</v>
      </c>
      <c r="I12">
        <v>0</v>
      </c>
      <c r="J12" t="s">
        <v>24</v>
      </c>
      <c r="K12" t="s">
        <v>29</v>
      </c>
      <c r="L12">
        <v>45</v>
      </c>
      <c r="M12" t="str">
        <f>IF(Sale_of_Bike4[[#This Row],[Age]]&gt;=55, "Old Age",IF(Sale_of_Bike4[[#This Row],[Age]]&gt;=41,"Middle Age",IF(Sale_of_Bike4[[#This Row],[Age]]&lt;41,"Adolescent","Invalid")))</f>
        <v>Middle Age</v>
      </c>
      <c r="N12" t="s">
        <v>32</v>
      </c>
    </row>
    <row r="13" spans="1:14" x14ac:dyDescent="0.3">
      <c r="A13">
        <v>12507</v>
      </c>
      <c r="B13" t="s">
        <v>33</v>
      </c>
      <c r="C13" t="s">
        <v>35</v>
      </c>
      <c r="D13" s="1">
        <v>70000</v>
      </c>
      <c r="E13">
        <v>2</v>
      </c>
      <c r="F13" t="s">
        <v>13</v>
      </c>
      <c r="G13" t="s">
        <v>15</v>
      </c>
      <c r="H13" t="s">
        <v>19</v>
      </c>
      <c r="I13">
        <v>0</v>
      </c>
      <c r="J13" t="s">
        <v>25</v>
      </c>
      <c r="K13" t="s">
        <v>28</v>
      </c>
      <c r="L13">
        <v>34</v>
      </c>
      <c r="M13" t="str">
        <f>IF(Sale_of_Bike4[[#This Row],[Age]]&gt;=55, "Old Age",IF(Sale_of_Bike4[[#This Row],[Age]]&gt;=41,"Middle Age",IF(Sale_of_Bike4[[#This Row],[Age]]&lt;41,"Adolescent","Invalid")))</f>
        <v>Adolescent</v>
      </c>
      <c r="N13" t="s">
        <v>19</v>
      </c>
    </row>
    <row r="14" spans="1:14" x14ac:dyDescent="0.3">
      <c r="A14">
        <v>12508</v>
      </c>
      <c r="B14" t="s">
        <v>34</v>
      </c>
      <c r="C14" t="s">
        <v>35</v>
      </c>
      <c r="D14" s="1">
        <v>90000</v>
      </c>
      <c r="E14">
        <v>2</v>
      </c>
      <c r="F14" t="s">
        <v>13</v>
      </c>
      <c r="G14" t="s">
        <v>12</v>
      </c>
      <c r="H14" t="s">
        <v>32</v>
      </c>
      <c r="I14">
        <v>2</v>
      </c>
      <c r="J14" t="s">
        <v>22</v>
      </c>
      <c r="K14" t="s">
        <v>29</v>
      </c>
      <c r="L14">
        <v>45</v>
      </c>
      <c r="M14" t="str">
        <f>IF(Sale_of_Bike4[[#This Row],[Age]]&gt;=55, "Old Age",IF(Sale_of_Bike4[[#This Row],[Age]]&gt;=41,"Middle Age",IF(Sale_of_Bike4[[#This Row],[Age]]&lt;41,"Adolescent","Invalid")))</f>
        <v>Middle Age</v>
      </c>
      <c r="N14" t="s">
        <v>32</v>
      </c>
    </row>
    <row r="15" spans="1:14" x14ac:dyDescent="0.3">
      <c r="A15">
        <v>12509</v>
      </c>
      <c r="B15" t="s">
        <v>34</v>
      </c>
      <c r="C15" t="s">
        <v>36</v>
      </c>
      <c r="D15" s="1">
        <v>70000</v>
      </c>
      <c r="E15">
        <v>2</v>
      </c>
      <c r="F15" t="s">
        <v>13</v>
      </c>
      <c r="G15" t="s">
        <v>17</v>
      </c>
      <c r="H15" t="s">
        <v>32</v>
      </c>
      <c r="I15">
        <v>1</v>
      </c>
      <c r="J15" t="s">
        <v>25</v>
      </c>
      <c r="K15" t="s">
        <v>28</v>
      </c>
      <c r="L15">
        <v>32</v>
      </c>
      <c r="M15" t="str">
        <f>IF(Sale_of_Bike4[[#This Row],[Age]]&gt;=55, "Old Age",IF(Sale_of_Bike4[[#This Row],[Age]]&gt;=41,"Middle Age",IF(Sale_of_Bike4[[#This Row],[Age]]&lt;41,"Adolescent","Invalid")))</f>
        <v>Adolescent</v>
      </c>
      <c r="N15" t="s">
        <v>19</v>
      </c>
    </row>
    <row r="16" spans="1:14" x14ac:dyDescent="0.3">
      <c r="A16">
        <v>12510</v>
      </c>
      <c r="B16" t="s">
        <v>33</v>
      </c>
      <c r="C16" t="s">
        <v>36</v>
      </c>
      <c r="D16" s="1">
        <v>90000</v>
      </c>
      <c r="E16">
        <v>2</v>
      </c>
      <c r="F16" t="s">
        <v>13</v>
      </c>
      <c r="G16" t="s">
        <v>12</v>
      </c>
      <c r="H16" t="s">
        <v>32</v>
      </c>
      <c r="I16">
        <v>1</v>
      </c>
      <c r="J16" t="s">
        <v>22</v>
      </c>
      <c r="K16" t="s">
        <v>29</v>
      </c>
      <c r="L16">
        <v>34</v>
      </c>
      <c r="M16" t="str">
        <f>IF(Sale_of_Bike4[[#This Row],[Age]]&gt;=55, "Old Age",IF(Sale_of_Bike4[[#This Row],[Age]]&gt;=41,"Middle Age",IF(Sale_of_Bike4[[#This Row],[Age]]&lt;41,"Adolescent","Invalid")))</f>
        <v>Adolescent</v>
      </c>
      <c r="N16" t="s">
        <v>32</v>
      </c>
    </row>
    <row r="17" spans="1:14" x14ac:dyDescent="0.3">
      <c r="A17">
        <v>12511</v>
      </c>
      <c r="B17" t="s">
        <v>33</v>
      </c>
      <c r="C17" t="s">
        <v>36</v>
      </c>
      <c r="D17" s="1">
        <v>90000</v>
      </c>
      <c r="E17">
        <v>2</v>
      </c>
      <c r="F17" t="s">
        <v>13</v>
      </c>
      <c r="G17" t="s">
        <v>15</v>
      </c>
      <c r="H17" t="s">
        <v>32</v>
      </c>
      <c r="I17">
        <v>1</v>
      </c>
      <c r="J17" t="s">
        <v>22</v>
      </c>
      <c r="K17" t="s">
        <v>28</v>
      </c>
      <c r="L17">
        <v>35</v>
      </c>
      <c r="M17" t="str">
        <f>IF(Sale_of_Bike4[[#This Row],[Age]]&gt;=55, "Old Age",IF(Sale_of_Bike4[[#This Row],[Age]]&gt;=41,"Middle Age",IF(Sale_of_Bike4[[#This Row],[Age]]&lt;41,"Adolescent","Invalid")))</f>
        <v>Adolescent</v>
      </c>
      <c r="N17" t="s">
        <v>19</v>
      </c>
    </row>
    <row r="18" spans="1:14" x14ac:dyDescent="0.3">
      <c r="A18">
        <v>12512</v>
      </c>
      <c r="B18" t="s">
        <v>33</v>
      </c>
      <c r="C18" t="s">
        <v>35</v>
      </c>
      <c r="D18" s="1">
        <v>90000</v>
      </c>
      <c r="E18">
        <v>2</v>
      </c>
      <c r="F18" t="s">
        <v>13</v>
      </c>
      <c r="G18" t="s">
        <v>16</v>
      </c>
      <c r="H18" t="s">
        <v>32</v>
      </c>
      <c r="I18">
        <v>1</v>
      </c>
      <c r="J18" t="s">
        <v>22</v>
      </c>
      <c r="K18" t="s">
        <v>29</v>
      </c>
      <c r="L18">
        <v>45</v>
      </c>
      <c r="M18" t="str">
        <f>IF(Sale_of_Bike4[[#This Row],[Age]]&gt;=55, "Old Age",IF(Sale_of_Bike4[[#This Row],[Age]]&gt;=41,"Middle Age",IF(Sale_of_Bike4[[#This Row],[Age]]&lt;41,"Adolescent","Invalid")))</f>
        <v>Middle Age</v>
      </c>
      <c r="N18" t="s">
        <v>19</v>
      </c>
    </row>
    <row r="19" spans="1:14" x14ac:dyDescent="0.3">
      <c r="A19">
        <v>12513</v>
      </c>
      <c r="B19" t="s">
        <v>33</v>
      </c>
      <c r="C19" t="s">
        <v>35</v>
      </c>
      <c r="D19" s="1">
        <v>90000</v>
      </c>
      <c r="E19">
        <v>1</v>
      </c>
      <c r="F19" t="s">
        <v>13</v>
      </c>
      <c r="G19" t="s">
        <v>16</v>
      </c>
      <c r="H19" t="s">
        <v>32</v>
      </c>
      <c r="I19">
        <v>1</v>
      </c>
      <c r="J19" t="s">
        <v>24</v>
      </c>
      <c r="K19" t="s">
        <v>28</v>
      </c>
      <c r="L19">
        <v>43</v>
      </c>
      <c r="M19" t="str">
        <f>IF(Sale_of_Bike4[[#This Row],[Age]]&gt;=55, "Old Age",IF(Sale_of_Bike4[[#This Row],[Age]]&gt;=41,"Middle Age",IF(Sale_of_Bike4[[#This Row],[Age]]&lt;41,"Adolescent","Invalid")))</f>
        <v>Middle Age</v>
      </c>
      <c r="N19" t="s">
        <v>32</v>
      </c>
    </row>
    <row r="20" spans="1:14" x14ac:dyDescent="0.3">
      <c r="A20">
        <v>12514</v>
      </c>
      <c r="B20" t="s">
        <v>33</v>
      </c>
      <c r="C20" t="s">
        <v>36</v>
      </c>
      <c r="D20" s="1">
        <v>90000</v>
      </c>
      <c r="E20">
        <v>1</v>
      </c>
      <c r="F20" t="s">
        <v>13</v>
      </c>
      <c r="G20" t="s">
        <v>15</v>
      </c>
      <c r="H20" t="s">
        <v>32</v>
      </c>
      <c r="I20">
        <v>1</v>
      </c>
      <c r="J20" t="s">
        <v>25</v>
      </c>
      <c r="K20" t="s">
        <v>29</v>
      </c>
      <c r="L20">
        <v>42</v>
      </c>
      <c r="M20" t="str">
        <f>IF(Sale_of_Bike4[[#This Row],[Age]]&gt;=55, "Old Age",IF(Sale_of_Bike4[[#This Row],[Age]]&gt;=41,"Middle Age",IF(Sale_of_Bike4[[#This Row],[Age]]&lt;41,"Adolescent","Invalid")))</f>
        <v>Middle Age</v>
      </c>
      <c r="N20" t="s">
        <v>19</v>
      </c>
    </row>
    <row r="21" spans="1:14" x14ac:dyDescent="0.3">
      <c r="A21">
        <v>12515</v>
      </c>
      <c r="B21" t="s">
        <v>33</v>
      </c>
      <c r="C21" t="s">
        <v>36</v>
      </c>
      <c r="D21" s="1">
        <v>90000</v>
      </c>
      <c r="E21">
        <v>1</v>
      </c>
      <c r="F21" t="s">
        <v>13</v>
      </c>
      <c r="G21" t="s">
        <v>12</v>
      </c>
      <c r="H21" t="s">
        <v>32</v>
      </c>
      <c r="I21">
        <v>1</v>
      </c>
      <c r="J21" t="s">
        <v>25</v>
      </c>
      <c r="K21" t="s">
        <v>28</v>
      </c>
      <c r="L21">
        <v>41</v>
      </c>
      <c r="M21" t="str">
        <f>IF(Sale_of_Bike4[[#This Row],[Age]]&gt;=55, "Old Age",IF(Sale_of_Bike4[[#This Row],[Age]]&gt;=41,"Middle Age",IF(Sale_of_Bike4[[#This Row],[Age]]&lt;41,"Adolescent","Invalid")))</f>
        <v>Middle Age</v>
      </c>
      <c r="N21" t="s">
        <v>19</v>
      </c>
    </row>
    <row r="22" spans="1:14" x14ac:dyDescent="0.3">
      <c r="A22">
        <v>12516</v>
      </c>
      <c r="B22" t="s">
        <v>33</v>
      </c>
      <c r="C22" t="s">
        <v>36</v>
      </c>
      <c r="D22" s="1">
        <v>90000</v>
      </c>
      <c r="E22">
        <v>1</v>
      </c>
      <c r="F22" t="s">
        <v>10</v>
      </c>
      <c r="G22" t="s">
        <v>17</v>
      </c>
      <c r="H22" t="s">
        <v>32</v>
      </c>
      <c r="I22">
        <v>2</v>
      </c>
      <c r="J22" t="s">
        <v>23</v>
      </c>
      <c r="K22" t="s">
        <v>29</v>
      </c>
      <c r="L22">
        <v>56</v>
      </c>
      <c r="M22" t="str">
        <f>IF(Sale_of_Bike4[[#This Row],[Age]]&gt;=55, "Old Age",IF(Sale_of_Bike4[[#This Row],[Age]]&gt;=41,"Middle Age",IF(Sale_of_Bike4[[#This Row],[Age]]&lt;41,"Adolescent","Invalid")))</f>
        <v>Old Age</v>
      </c>
      <c r="N22" t="s">
        <v>32</v>
      </c>
    </row>
    <row r="23" spans="1:14" x14ac:dyDescent="0.3">
      <c r="A23">
        <v>12517</v>
      </c>
      <c r="B23" t="s">
        <v>33</v>
      </c>
      <c r="C23" t="s">
        <v>35</v>
      </c>
      <c r="D23" s="1">
        <v>90000</v>
      </c>
      <c r="E23">
        <v>1</v>
      </c>
      <c r="F23" t="s">
        <v>10</v>
      </c>
      <c r="G23" t="s">
        <v>12</v>
      </c>
      <c r="H23" t="s">
        <v>32</v>
      </c>
      <c r="I23">
        <v>3</v>
      </c>
      <c r="J23" t="s">
        <v>23</v>
      </c>
      <c r="K23" t="s">
        <v>28</v>
      </c>
      <c r="L23">
        <v>43</v>
      </c>
      <c r="M23" t="str">
        <f>IF(Sale_of_Bike4[[#This Row],[Age]]&gt;=55, "Old Age",IF(Sale_of_Bike4[[#This Row],[Age]]&gt;=41,"Middle Age",IF(Sale_of_Bike4[[#This Row],[Age]]&lt;41,"Adolescent","Invalid")))</f>
        <v>Middle Age</v>
      </c>
      <c r="N23" t="s">
        <v>32</v>
      </c>
    </row>
    <row r="24" spans="1:14" x14ac:dyDescent="0.3">
      <c r="A24">
        <v>12518</v>
      </c>
      <c r="B24" t="s">
        <v>33</v>
      </c>
      <c r="C24" t="s">
        <v>35</v>
      </c>
      <c r="D24" s="1">
        <v>90000</v>
      </c>
      <c r="E24">
        <v>1</v>
      </c>
      <c r="F24" t="s">
        <v>10</v>
      </c>
      <c r="G24" t="s">
        <v>15</v>
      </c>
      <c r="H24" t="s">
        <v>32</v>
      </c>
      <c r="I24">
        <v>1</v>
      </c>
      <c r="J24" t="s">
        <v>25</v>
      </c>
      <c r="K24" t="s">
        <v>29</v>
      </c>
      <c r="L24">
        <v>42</v>
      </c>
      <c r="M24" t="str">
        <f>IF(Sale_of_Bike4[[#This Row],[Age]]&gt;=55, "Old Age",IF(Sale_of_Bike4[[#This Row],[Age]]&gt;=41,"Middle Age",IF(Sale_of_Bike4[[#This Row],[Age]]&lt;41,"Adolescent","Invalid")))</f>
        <v>Middle Age</v>
      </c>
      <c r="N24" t="s">
        <v>32</v>
      </c>
    </row>
    <row r="25" spans="1:14" x14ac:dyDescent="0.3">
      <c r="A25">
        <v>12519</v>
      </c>
      <c r="B25" t="s">
        <v>33</v>
      </c>
      <c r="C25" t="s">
        <v>36</v>
      </c>
      <c r="D25" s="1">
        <v>90000</v>
      </c>
      <c r="E25">
        <v>1</v>
      </c>
      <c r="F25" t="s">
        <v>10</v>
      </c>
      <c r="G25" t="s">
        <v>16</v>
      </c>
      <c r="H25" t="s">
        <v>19</v>
      </c>
      <c r="I25">
        <v>1</v>
      </c>
      <c r="J25" t="s">
        <v>48</v>
      </c>
      <c r="K25" t="s">
        <v>28</v>
      </c>
      <c r="L25">
        <v>43</v>
      </c>
      <c r="M25" t="str">
        <f>IF(Sale_of_Bike4[[#This Row],[Age]]&gt;=55, "Old Age",IF(Sale_of_Bike4[[#This Row],[Age]]&gt;=41,"Middle Age",IF(Sale_of_Bike4[[#This Row],[Age]]&lt;41,"Adolescent","Invalid")))</f>
        <v>Middle Age</v>
      </c>
      <c r="N25" t="s">
        <v>19</v>
      </c>
    </row>
    <row r="26" spans="1:14" x14ac:dyDescent="0.3">
      <c r="A26">
        <v>12520</v>
      </c>
      <c r="B26" t="s">
        <v>33</v>
      </c>
      <c r="C26" t="s">
        <v>35</v>
      </c>
      <c r="D26" s="1">
        <v>90000</v>
      </c>
      <c r="E26">
        <v>1</v>
      </c>
      <c r="F26" t="s">
        <v>10</v>
      </c>
      <c r="G26" t="s">
        <v>16</v>
      </c>
      <c r="H26" t="s">
        <v>19</v>
      </c>
      <c r="I26">
        <v>1</v>
      </c>
      <c r="J26" t="s">
        <v>23</v>
      </c>
      <c r="K26" t="s">
        <v>29</v>
      </c>
      <c r="L26">
        <v>42</v>
      </c>
      <c r="M26" t="str">
        <f>IF(Sale_of_Bike4[[#This Row],[Age]]&gt;=55, "Old Age",IF(Sale_of_Bike4[[#This Row],[Age]]&gt;=41,"Middle Age",IF(Sale_of_Bike4[[#This Row],[Age]]&lt;41,"Adolescent","Invalid")))</f>
        <v>Middle Age</v>
      </c>
      <c r="N26" t="s">
        <v>32</v>
      </c>
    </row>
    <row r="27" spans="1:14" x14ac:dyDescent="0.3">
      <c r="A27">
        <v>12521</v>
      </c>
      <c r="B27" t="s">
        <v>34</v>
      </c>
      <c r="C27" t="s">
        <v>35</v>
      </c>
      <c r="D27" s="1">
        <v>90000</v>
      </c>
      <c r="E27">
        <v>3</v>
      </c>
      <c r="F27" t="s">
        <v>9</v>
      </c>
      <c r="G27" t="s">
        <v>15</v>
      </c>
      <c r="H27" t="s">
        <v>19</v>
      </c>
      <c r="I27">
        <v>1</v>
      </c>
      <c r="J27" t="s">
        <v>23</v>
      </c>
      <c r="K27" t="s">
        <v>28</v>
      </c>
      <c r="L27">
        <v>45</v>
      </c>
      <c r="M27" t="str">
        <f>IF(Sale_of_Bike4[[#This Row],[Age]]&gt;=55, "Old Age",IF(Sale_of_Bike4[[#This Row],[Age]]&gt;=41,"Middle Age",IF(Sale_of_Bike4[[#This Row],[Age]]&lt;41,"Adolescent","Invalid")))</f>
        <v>Middle Age</v>
      </c>
      <c r="N27" t="s">
        <v>32</v>
      </c>
    </row>
    <row r="28" spans="1:14" x14ac:dyDescent="0.3">
      <c r="A28">
        <v>12522</v>
      </c>
      <c r="B28" t="s">
        <v>33</v>
      </c>
      <c r="C28" t="s">
        <v>36</v>
      </c>
      <c r="D28" s="1">
        <v>90000</v>
      </c>
      <c r="E28">
        <v>2</v>
      </c>
      <c r="F28" t="s">
        <v>9</v>
      </c>
      <c r="G28" t="s">
        <v>12</v>
      </c>
      <c r="H28" t="s">
        <v>19</v>
      </c>
      <c r="I28">
        <v>1</v>
      </c>
      <c r="J28" t="s">
        <v>22</v>
      </c>
      <c r="K28" t="s">
        <v>29</v>
      </c>
      <c r="L28">
        <v>46</v>
      </c>
      <c r="M28" t="str">
        <f>IF(Sale_of_Bike4[[#This Row],[Age]]&gt;=55, "Old Age",IF(Sale_of_Bike4[[#This Row],[Age]]&gt;=41,"Middle Age",IF(Sale_of_Bike4[[#This Row],[Age]]&lt;41,"Adolescent","Invalid")))</f>
        <v>Middle Age</v>
      </c>
      <c r="N28" t="s">
        <v>19</v>
      </c>
    </row>
    <row r="29" spans="1:14" x14ac:dyDescent="0.3">
      <c r="A29">
        <v>12523</v>
      </c>
      <c r="B29" t="s">
        <v>34</v>
      </c>
      <c r="C29" t="s">
        <v>35</v>
      </c>
      <c r="D29" s="1">
        <v>65000</v>
      </c>
      <c r="E29">
        <v>4</v>
      </c>
      <c r="F29" t="s">
        <v>9</v>
      </c>
      <c r="G29" t="s">
        <v>17</v>
      </c>
      <c r="H29" t="s">
        <v>19</v>
      </c>
      <c r="I29">
        <v>1</v>
      </c>
      <c r="J29" t="s">
        <v>22</v>
      </c>
      <c r="K29" t="s">
        <v>28</v>
      </c>
      <c r="L29">
        <v>47</v>
      </c>
      <c r="M29" t="str">
        <f>IF(Sale_of_Bike4[[#This Row],[Age]]&gt;=55, "Old Age",IF(Sale_of_Bike4[[#This Row],[Age]]&gt;=41,"Middle Age",IF(Sale_of_Bike4[[#This Row],[Age]]&lt;41,"Adolescent","Invalid")))</f>
        <v>Middle Age</v>
      </c>
      <c r="N29" t="s">
        <v>32</v>
      </c>
    </row>
    <row r="30" spans="1:14" x14ac:dyDescent="0.3">
      <c r="A30">
        <v>12524</v>
      </c>
      <c r="B30" t="s">
        <v>33</v>
      </c>
      <c r="C30" t="s">
        <v>35</v>
      </c>
      <c r="D30" s="1">
        <v>65000</v>
      </c>
      <c r="E30">
        <v>6</v>
      </c>
      <c r="F30" t="s">
        <v>9</v>
      </c>
      <c r="G30" t="s">
        <v>12</v>
      </c>
      <c r="H30" t="s">
        <v>19</v>
      </c>
      <c r="I30">
        <v>1</v>
      </c>
      <c r="J30" t="s">
        <v>22</v>
      </c>
      <c r="K30" t="s">
        <v>29</v>
      </c>
      <c r="L30">
        <v>50</v>
      </c>
      <c r="M30" t="str">
        <f>IF(Sale_of_Bike4[[#This Row],[Age]]&gt;=55, "Old Age",IF(Sale_of_Bike4[[#This Row],[Age]]&gt;=41,"Middle Age",IF(Sale_of_Bike4[[#This Row],[Age]]&lt;41,"Adolescent","Invalid")))</f>
        <v>Middle Age</v>
      </c>
      <c r="N30" t="s">
        <v>19</v>
      </c>
    </row>
    <row r="31" spans="1:14" x14ac:dyDescent="0.3">
      <c r="A31">
        <v>12525</v>
      </c>
      <c r="B31" t="s">
        <v>34</v>
      </c>
      <c r="C31" t="s">
        <v>36</v>
      </c>
      <c r="D31" s="1">
        <v>65000</v>
      </c>
      <c r="E31">
        <v>2</v>
      </c>
      <c r="F31" t="s">
        <v>9</v>
      </c>
      <c r="G31" t="s">
        <v>15</v>
      </c>
      <c r="H31" t="s">
        <v>19</v>
      </c>
      <c r="I31">
        <v>0</v>
      </c>
      <c r="J31" t="s">
        <v>24</v>
      </c>
      <c r="K31" t="s">
        <v>29</v>
      </c>
      <c r="L31">
        <v>52</v>
      </c>
      <c r="M31" t="str">
        <f>IF(Sale_of_Bike4[[#This Row],[Age]]&gt;=55, "Old Age",IF(Sale_of_Bike4[[#This Row],[Age]]&gt;=41,"Middle Age",IF(Sale_of_Bike4[[#This Row],[Age]]&lt;41,"Adolescent","Invalid")))</f>
        <v>Middle Age</v>
      </c>
      <c r="N31" t="s">
        <v>32</v>
      </c>
    </row>
    <row r="32" spans="1:14" x14ac:dyDescent="0.3">
      <c r="A32">
        <v>12526</v>
      </c>
      <c r="B32" t="s">
        <v>33</v>
      </c>
      <c r="C32" t="s">
        <v>35</v>
      </c>
      <c r="D32" s="1">
        <v>65000</v>
      </c>
      <c r="E32">
        <v>2</v>
      </c>
      <c r="F32" t="s">
        <v>9</v>
      </c>
      <c r="G32" t="s">
        <v>16</v>
      </c>
      <c r="H32" t="s">
        <v>19</v>
      </c>
      <c r="I32">
        <v>0</v>
      </c>
      <c r="J32" t="s">
        <v>25</v>
      </c>
      <c r="K32" t="s">
        <v>28</v>
      </c>
      <c r="L32">
        <v>53</v>
      </c>
      <c r="M32" t="str">
        <f>IF(Sale_of_Bike4[[#This Row],[Age]]&gt;=55, "Old Age",IF(Sale_of_Bike4[[#This Row],[Age]]&gt;=41,"Middle Age",IF(Sale_of_Bike4[[#This Row],[Age]]&lt;41,"Adolescent","Invalid")))</f>
        <v>Middle Age</v>
      </c>
      <c r="N32" t="s">
        <v>32</v>
      </c>
    </row>
    <row r="33" spans="1:14" x14ac:dyDescent="0.3">
      <c r="A33">
        <v>12527</v>
      </c>
      <c r="B33" t="s">
        <v>34</v>
      </c>
      <c r="C33" t="s">
        <v>35</v>
      </c>
      <c r="D33" s="1">
        <v>65000</v>
      </c>
      <c r="E33">
        <v>2</v>
      </c>
      <c r="F33" t="s">
        <v>9</v>
      </c>
      <c r="G33" t="s">
        <v>16</v>
      </c>
      <c r="H33" t="s">
        <v>19</v>
      </c>
      <c r="I33">
        <v>0</v>
      </c>
      <c r="J33" t="s">
        <v>25</v>
      </c>
      <c r="K33" t="s">
        <v>29</v>
      </c>
      <c r="L33">
        <v>54</v>
      </c>
      <c r="M33" t="str">
        <f>IF(Sale_of_Bike4[[#This Row],[Age]]&gt;=55, "Old Age",IF(Sale_of_Bike4[[#This Row],[Age]]&gt;=41,"Middle Age",IF(Sale_of_Bike4[[#This Row],[Age]]&lt;41,"Adolescent","Invalid")))</f>
        <v>Middle Age</v>
      </c>
      <c r="N33" t="s">
        <v>32</v>
      </c>
    </row>
    <row r="34" spans="1:14" x14ac:dyDescent="0.3">
      <c r="A34">
        <v>12528</v>
      </c>
      <c r="B34" t="s">
        <v>33</v>
      </c>
      <c r="C34" t="s">
        <v>36</v>
      </c>
      <c r="D34" s="1">
        <v>65000</v>
      </c>
      <c r="E34">
        <v>2</v>
      </c>
      <c r="F34" t="s">
        <v>9</v>
      </c>
      <c r="G34" t="s">
        <v>15</v>
      </c>
      <c r="H34" t="s">
        <v>19</v>
      </c>
      <c r="I34">
        <v>0</v>
      </c>
      <c r="J34" t="s">
        <v>23</v>
      </c>
      <c r="K34" t="s">
        <v>28</v>
      </c>
      <c r="L34">
        <v>56</v>
      </c>
      <c r="M34" t="str">
        <f>IF(Sale_of_Bike4[[#This Row],[Age]]&gt;=55, "Old Age",IF(Sale_of_Bike4[[#This Row],[Age]]&gt;=41,"Middle Age",IF(Sale_of_Bike4[[#This Row],[Age]]&lt;41,"Adolescent","Invalid")))</f>
        <v>Old Age</v>
      </c>
      <c r="N34" t="s">
        <v>32</v>
      </c>
    </row>
    <row r="35" spans="1:14" x14ac:dyDescent="0.3">
      <c r="A35">
        <v>12529</v>
      </c>
      <c r="B35" t="s">
        <v>34</v>
      </c>
      <c r="C35" t="s">
        <v>35</v>
      </c>
      <c r="D35" s="1">
        <v>65000</v>
      </c>
      <c r="E35">
        <v>2</v>
      </c>
      <c r="F35" t="s">
        <v>9</v>
      </c>
      <c r="G35" t="s">
        <v>12</v>
      </c>
      <c r="H35" t="s">
        <v>19</v>
      </c>
      <c r="I35">
        <v>0</v>
      </c>
      <c r="J35" t="s">
        <v>22</v>
      </c>
      <c r="K35" t="s">
        <v>29</v>
      </c>
      <c r="L35">
        <v>59</v>
      </c>
      <c r="M35" t="str">
        <f>IF(Sale_of_Bike4[[#This Row],[Age]]&gt;=55, "Old Age",IF(Sale_of_Bike4[[#This Row],[Age]]&gt;=41,"Middle Age",IF(Sale_of_Bike4[[#This Row],[Age]]&lt;41,"Adolescent","Invalid")))</f>
        <v>Old Age</v>
      </c>
      <c r="N35" t="s">
        <v>32</v>
      </c>
    </row>
    <row r="36" spans="1:14" x14ac:dyDescent="0.3">
      <c r="A36">
        <v>12530</v>
      </c>
      <c r="B36" t="s">
        <v>33</v>
      </c>
      <c r="C36" t="s">
        <v>35</v>
      </c>
      <c r="D36" s="1">
        <v>65000</v>
      </c>
      <c r="E36">
        <v>2</v>
      </c>
      <c r="F36" t="s">
        <v>9</v>
      </c>
      <c r="G36" t="s">
        <v>17</v>
      </c>
      <c r="H36" t="s">
        <v>19</v>
      </c>
      <c r="I36">
        <v>0</v>
      </c>
      <c r="J36" t="s">
        <v>23</v>
      </c>
      <c r="K36" t="s">
        <v>28</v>
      </c>
      <c r="L36">
        <v>40</v>
      </c>
      <c r="M36" t="str">
        <f>IF(Sale_of_Bike4[[#This Row],[Age]]&gt;=55, "Old Age",IF(Sale_of_Bike4[[#This Row],[Age]]&gt;=41,"Middle Age",IF(Sale_of_Bike4[[#This Row],[Age]]&lt;41,"Adolescent","Invalid")))</f>
        <v>Adolescent</v>
      </c>
      <c r="N36" t="s">
        <v>19</v>
      </c>
    </row>
    <row r="37" spans="1:14" x14ac:dyDescent="0.3">
      <c r="A37">
        <v>12531</v>
      </c>
      <c r="B37" t="s">
        <v>34</v>
      </c>
      <c r="C37" t="s">
        <v>36</v>
      </c>
      <c r="D37" s="1">
        <v>7800000</v>
      </c>
      <c r="E37">
        <v>2</v>
      </c>
      <c r="F37" t="s">
        <v>9</v>
      </c>
      <c r="G37" t="s">
        <v>12</v>
      </c>
      <c r="H37" t="s">
        <v>19</v>
      </c>
      <c r="I37">
        <v>0</v>
      </c>
      <c r="J37" t="s">
        <v>24</v>
      </c>
      <c r="K37" t="s">
        <v>28</v>
      </c>
      <c r="L37">
        <v>41</v>
      </c>
      <c r="M37" t="str">
        <f>IF(Sale_of_Bike4[[#This Row],[Age]]&gt;=55, "Old Age",IF(Sale_of_Bike4[[#This Row],[Age]]&gt;=41,"Middle Age",IF(Sale_of_Bike4[[#This Row],[Age]]&lt;41,"Adolescent","Invalid")))</f>
        <v>Middle Age</v>
      </c>
      <c r="N37" t="s">
        <v>19</v>
      </c>
    </row>
    <row r="38" spans="1:14" x14ac:dyDescent="0.3">
      <c r="A38">
        <v>12532</v>
      </c>
      <c r="B38" t="s">
        <v>33</v>
      </c>
      <c r="C38" t="s">
        <v>35</v>
      </c>
      <c r="D38" s="1">
        <v>7800001</v>
      </c>
      <c r="E38">
        <v>2</v>
      </c>
      <c r="F38" t="s">
        <v>9</v>
      </c>
      <c r="G38" t="s">
        <v>15</v>
      </c>
      <c r="H38" t="s">
        <v>19</v>
      </c>
      <c r="I38">
        <v>0</v>
      </c>
      <c r="J38" t="s">
        <v>25</v>
      </c>
      <c r="K38" t="s">
        <v>28</v>
      </c>
      <c r="L38">
        <v>42</v>
      </c>
      <c r="M38" t="str">
        <f>IF(Sale_of_Bike4[[#This Row],[Age]]&gt;=55, "Old Age",IF(Sale_of_Bike4[[#This Row],[Age]]&gt;=41,"Middle Age",IF(Sale_of_Bike4[[#This Row],[Age]]&lt;41,"Adolescent","Invalid")))</f>
        <v>Middle Age</v>
      </c>
      <c r="N38" t="s">
        <v>19</v>
      </c>
    </row>
    <row r="39" spans="1:14" x14ac:dyDescent="0.3">
      <c r="A39">
        <v>12533</v>
      </c>
      <c r="B39" t="s">
        <v>34</v>
      </c>
      <c r="C39" t="s">
        <v>35</v>
      </c>
      <c r="D39" s="1">
        <v>7800002</v>
      </c>
      <c r="E39">
        <v>2</v>
      </c>
      <c r="F39" t="s">
        <v>10</v>
      </c>
      <c r="G39" t="s">
        <v>16</v>
      </c>
      <c r="H39" t="s">
        <v>19</v>
      </c>
      <c r="I39">
        <v>0</v>
      </c>
      <c r="J39" t="s">
        <v>22</v>
      </c>
      <c r="K39" t="s">
        <v>28</v>
      </c>
      <c r="L39">
        <v>43</v>
      </c>
      <c r="M39" t="str">
        <f>IF(Sale_of_Bike4[[#This Row],[Age]]&gt;=55, "Old Age",IF(Sale_of_Bike4[[#This Row],[Age]]&gt;=41,"Middle Age",IF(Sale_of_Bike4[[#This Row],[Age]]&lt;41,"Adolescent","Invalid")))</f>
        <v>Middle Age</v>
      </c>
      <c r="N39" t="s">
        <v>19</v>
      </c>
    </row>
    <row r="40" spans="1:14" x14ac:dyDescent="0.3">
      <c r="A40">
        <v>12534</v>
      </c>
      <c r="B40" t="s">
        <v>33</v>
      </c>
      <c r="C40" t="s">
        <v>36</v>
      </c>
      <c r="D40" s="1">
        <v>7800003</v>
      </c>
      <c r="E40">
        <v>2</v>
      </c>
      <c r="F40" t="s">
        <v>10</v>
      </c>
      <c r="G40" t="s">
        <v>16</v>
      </c>
      <c r="H40" t="s">
        <v>19</v>
      </c>
      <c r="I40">
        <v>0</v>
      </c>
      <c r="J40" t="s">
        <v>25</v>
      </c>
      <c r="K40" t="s">
        <v>28</v>
      </c>
      <c r="L40">
        <v>42</v>
      </c>
      <c r="M40" t="str">
        <f>IF(Sale_of_Bike4[[#This Row],[Age]]&gt;=55, "Old Age",IF(Sale_of_Bike4[[#This Row],[Age]]&gt;=41,"Middle Age",IF(Sale_of_Bike4[[#This Row],[Age]]&lt;41,"Adolescent","Invalid")))</f>
        <v>Middle Age</v>
      </c>
      <c r="N40" t="s">
        <v>32</v>
      </c>
    </row>
    <row r="41" spans="1:14" x14ac:dyDescent="0.3">
      <c r="A41">
        <v>12535</v>
      </c>
      <c r="B41" t="s">
        <v>34</v>
      </c>
      <c r="C41" t="s">
        <v>35</v>
      </c>
      <c r="D41" s="1">
        <v>7800004</v>
      </c>
      <c r="E41">
        <v>2</v>
      </c>
      <c r="F41" t="s">
        <v>10</v>
      </c>
      <c r="G41" t="s">
        <v>15</v>
      </c>
      <c r="H41" t="s">
        <v>32</v>
      </c>
      <c r="I41">
        <v>1</v>
      </c>
      <c r="J41" t="s">
        <v>22</v>
      </c>
      <c r="K41" t="s">
        <v>28</v>
      </c>
      <c r="L41">
        <v>43</v>
      </c>
      <c r="M41" t="str">
        <f>IF(Sale_of_Bike4[[#This Row],[Age]]&gt;=55, "Old Age",IF(Sale_of_Bike4[[#This Row],[Age]]&gt;=41,"Middle Age",IF(Sale_of_Bike4[[#This Row],[Age]]&lt;41,"Adolescent","Invalid")))</f>
        <v>Middle Age</v>
      </c>
      <c r="N41" t="s">
        <v>32</v>
      </c>
    </row>
    <row r="42" spans="1:14" x14ac:dyDescent="0.3">
      <c r="A42">
        <v>12536</v>
      </c>
      <c r="B42" t="s">
        <v>33</v>
      </c>
      <c r="C42" t="s">
        <v>35</v>
      </c>
      <c r="D42" s="1">
        <v>7800005</v>
      </c>
      <c r="E42">
        <v>1</v>
      </c>
      <c r="F42" t="s">
        <v>10</v>
      </c>
      <c r="G42" t="s">
        <v>12</v>
      </c>
      <c r="H42" t="s">
        <v>19</v>
      </c>
      <c r="I42">
        <v>1</v>
      </c>
      <c r="J42" t="s">
        <v>24</v>
      </c>
      <c r="K42" t="s">
        <v>28</v>
      </c>
      <c r="L42">
        <v>45</v>
      </c>
      <c r="M42" t="str">
        <f>IF(Sale_of_Bike4[[#This Row],[Age]]&gt;=55, "Old Age",IF(Sale_of_Bike4[[#This Row],[Age]]&gt;=41,"Middle Age",IF(Sale_of_Bike4[[#This Row],[Age]]&lt;41,"Adolescent","Invalid")))</f>
        <v>Middle Age</v>
      </c>
      <c r="N42" t="s">
        <v>32</v>
      </c>
    </row>
    <row r="43" spans="1:14" x14ac:dyDescent="0.3">
      <c r="A43">
        <v>12537</v>
      </c>
      <c r="B43" t="s">
        <v>34</v>
      </c>
      <c r="C43" t="s">
        <v>36</v>
      </c>
      <c r="D43" s="1">
        <v>7800006</v>
      </c>
      <c r="E43">
        <v>1</v>
      </c>
      <c r="F43" t="s">
        <v>9</v>
      </c>
      <c r="G43" t="s">
        <v>17</v>
      </c>
      <c r="H43" t="s">
        <v>32</v>
      </c>
      <c r="I43">
        <v>1</v>
      </c>
      <c r="J43" t="s">
        <v>23</v>
      </c>
      <c r="K43" t="s">
        <v>28</v>
      </c>
      <c r="L43">
        <v>45</v>
      </c>
      <c r="M43" t="str">
        <f>IF(Sale_of_Bike4[[#This Row],[Age]]&gt;=55, "Old Age",IF(Sale_of_Bike4[[#This Row],[Age]]&gt;=41,"Middle Age",IF(Sale_of_Bike4[[#This Row],[Age]]&lt;41,"Adolescent","Invalid")))</f>
        <v>Middle Age</v>
      </c>
      <c r="N43" t="s">
        <v>32</v>
      </c>
    </row>
    <row r="44" spans="1:14" x14ac:dyDescent="0.3">
      <c r="A44">
        <v>12538</v>
      </c>
      <c r="B44" t="s">
        <v>33</v>
      </c>
      <c r="C44" t="s">
        <v>35</v>
      </c>
      <c r="D44" s="1">
        <v>7800007</v>
      </c>
      <c r="E44">
        <v>1</v>
      </c>
      <c r="F44" t="s">
        <v>13</v>
      </c>
      <c r="G44" t="s">
        <v>12</v>
      </c>
      <c r="H44" t="s">
        <v>19</v>
      </c>
      <c r="I44">
        <v>1</v>
      </c>
      <c r="J44" t="s">
        <v>22</v>
      </c>
      <c r="K44" t="s">
        <v>28</v>
      </c>
      <c r="L44">
        <v>43</v>
      </c>
      <c r="M44" t="str">
        <f>IF(Sale_of_Bike4[[#This Row],[Age]]&gt;=55, "Old Age",IF(Sale_of_Bike4[[#This Row],[Age]]&gt;=41,"Middle Age",IF(Sale_of_Bike4[[#This Row],[Age]]&lt;41,"Adolescent","Invalid")))</f>
        <v>Middle Age</v>
      </c>
      <c r="N44" t="s">
        <v>32</v>
      </c>
    </row>
    <row r="45" spans="1:14" x14ac:dyDescent="0.3">
      <c r="A45">
        <v>12539</v>
      </c>
      <c r="B45" t="s">
        <v>34</v>
      </c>
      <c r="C45" t="s">
        <v>35</v>
      </c>
      <c r="D45" s="1">
        <v>7800008</v>
      </c>
      <c r="E45">
        <v>1</v>
      </c>
      <c r="F45" t="s">
        <v>10</v>
      </c>
      <c r="G45" t="s">
        <v>15</v>
      </c>
      <c r="H45" t="s">
        <v>32</v>
      </c>
      <c r="I45">
        <v>1</v>
      </c>
      <c r="J45" t="s">
        <v>22</v>
      </c>
      <c r="K45" t="s">
        <v>28</v>
      </c>
      <c r="L45">
        <v>42</v>
      </c>
      <c r="M45" t="str">
        <f>IF(Sale_of_Bike4[[#This Row],[Age]]&gt;=55, "Old Age",IF(Sale_of_Bike4[[#This Row],[Age]]&gt;=41,"Middle Age",IF(Sale_of_Bike4[[#This Row],[Age]]&lt;41,"Adolescent","Invalid")))</f>
        <v>Middle Age</v>
      </c>
      <c r="N45" t="s">
        <v>32</v>
      </c>
    </row>
    <row r="46" spans="1:14" x14ac:dyDescent="0.3">
      <c r="A46">
        <v>12540</v>
      </c>
      <c r="B46" t="s">
        <v>33</v>
      </c>
      <c r="C46" t="s">
        <v>36</v>
      </c>
      <c r="D46" s="1">
        <v>7800009</v>
      </c>
      <c r="E46">
        <v>1</v>
      </c>
      <c r="F46" t="s">
        <v>13</v>
      </c>
      <c r="G46" t="s">
        <v>16</v>
      </c>
      <c r="H46" t="s">
        <v>19</v>
      </c>
      <c r="I46">
        <v>1</v>
      </c>
      <c r="J46" t="s">
        <v>24</v>
      </c>
      <c r="K46" t="s">
        <v>29</v>
      </c>
      <c r="L46">
        <v>43</v>
      </c>
      <c r="M46" t="str">
        <f>IF(Sale_of_Bike4[[#This Row],[Age]]&gt;=55, "Old Age",IF(Sale_of_Bike4[[#This Row],[Age]]&gt;=41,"Middle Age",IF(Sale_of_Bike4[[#This Row],[Age]]&lt;41,"Adolescent","Invalid")))</f>
        <v>Middle Age</v>
      </c>
      <c r="N46" t="s">
        <v>19</v>
      </c>
    </row>
    <row r="47" spans="1:14" x14ac:dyDescent="0.3">
      <c r="A47">
        <v>12541</v>
      </c>
      <c r="B47" t="s">
        <v>34</v>
      </c>
      <c r="C47" t="s">
        <v>35</v>
      </c>
      <c r="D47" s="1">
        <v>96000</v>
      </c>
      <c r="E47">
        <v>1</v>
      </c>
      <c r="F47" t="s">
        <v>9</v>
      </c>
      <c r="G47" t="s">
        <v>16</v>
      </c>
      <c r="H47" t="s">
        <v>32</v>
      </c>
      <c r="I47">
        <v>1</v>
      </c>
      <c r="J47" t="s">
        <v>23</v>
      </c>
      <c r="K47" t="s">
        <v>29</v>
      </c>
      <c r="L47">
        <v>32</v>
      </c>
      <c r="M47" t="str">
        <f>IF(Sale_of_Bike4[[#This Row],[Age]]&gt;=55, "Old Age",IF(Sale_of_Bike4[[#This Row],[Age]]&gt;=41,"Middle Age",IF(Sale_of_Bike4[[#This Row],[Age]]&lt;41,"Adolescent","Invalid")))</f>
        <v>Adolescent</v>
      </c>
      <c r="N47" t="s">
        <v>19</v>
      </c>
    </row>
    <row r="48" spans="1:14" x14ac:dyDescent="0.3">
      <c r="A48">
        <v>12542</v>
      </c>
      <c r="B48" t="s">
        <v>33</v>
      </c>
      <c r="C48" t="s">
        <v>35</v>
      </c>
      <c r="D48" s="1">
        <v>96000</v>
      </c>
      <c r="E48">
        <v>1</v>
      </c>
      <c r="F48" t="s">
        <v>13</v>
      </c>
      <c r="G48" t="s">
        <v>15</v>
      </c>
      <c r="H48" t="s">
        <v>19</v>
      </c>
      <c r="I48">
        <v>0</v>
      </c>
      <c r="J48" t="s">
        <v>24</v>
      </c>
      <c r="K48" t="s">
        <v>29</v>
      </c>
      <c r="L48">
        <v>34</v>
      </c>
      <c r="M48" t="str">
        <f>IF(Sale_of_Bike4[[#This Row],[Age]]&gt;=55, "Old Age",IF(Sale_of_Bike4[[#This Row],[Age]]&gt;=41,"Middle Age",IF(Sale_of_Bike4[[#This Row],[Age]]&lt;41,"Adolescent","Invalid")))</f>
        <v>Adolescent</v>
      </c>
      <c r="N48" t="s">
        <v>19</v>
      </c>
    </row>
    <row r="49" spans="1:14" x14ac:dyDescent="0.3">
      <c r="A49">
        <v>12543</v>
      </c>
      <c r="B49" t="s">
        <v>34</v>
      </c>
      <c r="C49" t="s">
        <v>36</v>
      </c>
      <c r="D49" s="1">
        <v>96000</v>
      </c>
      <c r="E49">
        <v>1</v>
      </c>
      <c r="F49" t="s">
        <v>10</v>
      </c>
      <c r="G49" t="s">
        <v>12</v>
      </c>
      <c r="H49" t="s">
        <v>32</v>
      </c>
      <c r="I49">
        <v>1</v>
      </c>
      <c r="J49" t="s">
        <v>23</v>
      </c>
      <c r="K49" t="s">
        <v>28</v>
      </c>
      <c r="L49">
        <v>32</v>
      </c>
      <c r="M49" t="str">
        <f>IF(Sale_of_Bike4[[#This Row],[Age]]&gt;=55, "Old Age",IF(Sale_of_Bike4[[#This Row],[Age]]&gt;=41,"Middle Age",IF(Sale_of_Bike4[[#This Row],[Age]]&lt;41,"Adolescent","Invalid")))</f>
        <v>Adolescent</v>
      </c>
      <c r="N49" t="s">
        <v>19</v>
      </c>
    </row>
    <row r="50" spans="1:14" x14ac:dyDescent="0.3">
      <c r="A50">
        <v>12544</v>
      </c>
      <c r="B50" t="s">
        <v>33</v>
      </c>
      <c r="C50" t="s">
        <v>35</v>
      </c>
      <c r="D50" s="1">
        <v>96000</v>
      </c>
      <c r="E50">
        <v>1</v>
      </c>
      <c r="F50" t="s">
        <v>9</v>
      </c>
      <c r="G50" t="s">
        <v>17</v>
      </c>
      <c r="H50" t="s">
        <v>19</v>
      </c>
      <c r="I50">
        <v>2</v>
      </c>
      <c r="J50" t="s">
        <v>23</v>
      </c>
      <c r="K50" t="s">
        <v>29</v>
      </c>
      <c r="L50">
        <v>34</v>
      </c>
      <c r="M50" t="str">
        <f>IF(Sale_of_Bike4[[#This Row],[Age]]&gt;=55, "Old Age",IF(Sale_of_Bike4[[#This Row],[Age]]&gt;=41,"Middle Age",IF(Sale_of_Bike4[[#This Row],[Age]]&lt;41,"Adolescent","Invalid")))</f>
        <v>Adolescent</v>
      </c>
      <c r="N50" t="s">
        <v>19</v>
      </c>
    </row>
    <row r="51" spans="1:14" x14ac:dyDescent="0.3">
      <c r="A51">
        <v>12545</v>
      </c>
      <c r="B51" t="s">
        <v>34</v>
      </c>
      <c r="C51" t="s">
        <v>35</v>
      </c>
      <c r="D51" s="1">
        <v>96000</v>
      </c>
      <c r="E51">
        <v>1</v>
      </c>
      <c r="F51" t="s">
        <v>13</v>
      </c>
      <c r="G51" t="s">
        <v>12</v>
      </c>
      <c r="H51" t="s">
        <v>32</v>
      </c>
      <c r="I51">
        <v>3</v>
      </c>
      <c r="J51" t="s">
        <v>23</v>
      </c>
      <c r="K51" t="s">
        <v>28</v>
      </c>
      <c r="L51">
        <v>32</v>
      </c>
      <c r="M51" t="str">
        <f>IF(Sale_of_Bike4[[#This Row],[Age]]&gt;=55, "Old Age",IF(Sale_of_Bike4[[#This Row],[Age]]&gt;=41,"Middle Age",IF(Sale_of_Bike4[[#This Row],[Age]]&lt;41,"Adolescent","Invalid")))</f>
        <v>Adolescent</v>
      </c>
      <c r="N5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476C-4037-4E37-A7F3-612CCA853E51}">
  <dimension ref="A3:K24"/>
  <sheetViews>
    <sheetView workbookViewId="0">
      <selection activeCell="J5" sqref="J5"/>
    </sheetView>
  </sheetViews>
  <sheetFormatPr defaultRowHeight="14.4" x14ac:dyDescent="0.3"/>
  <cols>
    <col min="1" max="1" width="16.109375" bestFit="1" customWidth="1"/>
    <col min="2" max="2" width="14.88671875" bestFit="1" customWidth="1"/>
    <col min="3" max="3" width="10.109375" bestFit="1" customWidth="1"/>
    <col min="4" max="5" width="10.5546875" bestFit="1" customWidth="1"/>
    <col min="10" max="10" width="12.44140625" bestFit="1" customWidth="1"/>
    <col min="11" max="11" width="13.33203125" bestFit="1" customWidth="1"/>
    <col min="12" max="13" width="8.5546875" bestFit="1" customWidth="1"/>
    <col min="14" max="14" width="10.109375" bestFit="1" customWidth="1"/>
    <col min="15" max="15" width="8.5546875" bestFit="1" customWidth="1"/>
    <col min="16" max="25" width="10.109375" bestFit="1" customWidth="1"/>
    <col min="26" max="26" width="11.109375" bestFit="1" customWidth="1"/>
  </cols>
  <sheetData>
    <row r="3" spans="1:11" x14ac:dyDescent="0.3">
      <c r="A3" s="3" t="s">
        <v>39</v>
      </c>
      <c r="B3" s="3" t="s">
        <v>43</v>
      </c>
    </row>
    <row r="4" spans="1:11" x14ac:dyDescent="0.3">
      <c r="A4" s="3" t="s">
        <v>40</v>
      </c>
      <c r="B4" t="s">
        <v>19</v>
      </c>
      <c r="C4" t="s">
        <v>32</v>
      </c>
      <c r="D4" t="s">
        <v>41</v>
      </c>
    </row>
    <row r="5" spans="1:11" x14ac:dyDescent="0.3">
      <c r="A5" s="4" t="s">
        <v>36</v>
      </c>
      <c r="B5" s="2">
        <v>1268154.5384615385</v>
      </c>
      <c r="C5" s="2">
        <v>1795556.5555555555</v>
      </c>
      <c r="D5" s="2">
        <v>1483909.9090909092</v>
      </c>
      <c r="J5" s="3" t="s">
        <v>40</v>
      </c>
      <c r="K5" t="s">
        <v>49</v>
      </c>
    </row>
    <row r="6" spans="1:11" x14ac:dyDescent="0.3">
      <c r="A6" s="4" t="s">
        <v>35</v>
      </c>
      <c r="B6" s="2">
        <v>1179571.642857143</v>
      </c>
      <c r="C6" s="2">
        <v>2285716</v>
      </c>
      <c r="D6" s="2">
        <v>1732643.8214285714</v>
      </c>
      <c r="J6" s="4" t="s">
        <v>28</v>
      </c>
      <c r="K6" s="2">
        <v>71752036</v>
      </c>
    </row>
    <row r="7" spans="1:11" x14ac:dyDescent="0.3">
      <c r="A7" s="4" t="s">
        <v>41</v>
      </c>
      <c r="B7" s="2">
        <v>1222222.6666666667</v>
      </c>
      <c r="C7" s="2">
        <v>2093914.4782608696</v>
      </c>
      <c r="D7" s="2">
        <v>1623200.9</v>
      </c>
      <c r="J7" s="4" t="s">
        <v>29</v>
      </c>
      <c r="K7" s="2">
        <v>9408009</v>
      </c>
    </row>
    <row r="8" spans="1:11" x14ac:dyDescent="0.3">
      <c r="J8" s="4" t="s">
        <v>41</v>
      </c>
      <c r="K8" s="2">
        <v>81160045</v>
      </c>
    </row>
    <row r="9" spans="1:11" x14ac:dyDescent="0.3">
      <c r="A9" s="3" t="s">
        <v>47</v>
      </c>
      <c r="B9" s="3" t="s">
        <v>42</v>
      </c>
    </row>
    <row r="10" spans="1:11" x14ac:dyDescent="0.3">
      <c r="A10" s="3" t="s">
        <v>40</v>
      </c>
      <c r="B10" t="s">
        <v>19</v>
      </c>
      <c r="C10" t="s">
        <v>32</v>
      </c>
      <c r="D10" t="s">
        <v>41</v>
      </c>
    </row>
    <row r="11" spans="1:11" x14ac:dyDescent="0.3">
      <c r="A11" s="4" t="s">
        <v>22</v>
      </c>
      <c r="B11">
        <v>8</v>
      </c>
      <c r="C11">
        <v>9</v>
      </c>
      <c r="D11">
        <v>17</v>
      </c>
    </row>
    <row r="12" spans="1:11" x14ac:dyDescent="0.3">
      <c r="A12" s="4" t="s">
        <v>25</v>
      </c>
      <c r="B12">
        <v>7</v>
      </c>
      <c r="C12">
        <v>4</v>
      </c>
      <c r="D12">
        <v>11</v>
      </c>
    </row>
    <row r="13" spans="1:11" x14ac:dyDescent="0.3">
      <c r="A13" s="4" t="s">
        <v>23</v>
      </c>
      <c r="B13">
        <v>6</v>
      </c>
      <c r="C13">
        <v>6</v>
      </c>
      <c r="D13">
        <v>12</v>
      </c>
      <c r="H13" t="s">
        <v>50</v>
      </c>
    </row>
    <row r="14" spans="1:11" x14ac:dyDescent="0.3">
      <c r="A14" s="4" t="s">
        <v>24</v>
      </c>
      <c r="B14">
        <v>4</v>
      </c>
      <c r="C14">
        <v>4</v>
      </c>
      <c r="D14">
        <v>8</v>
      </c>
      <c r="H14" t="s">
        <v>51</v>
      </c>
    </row>
    <row r="15" spans="1:11" x14ac:dyDescent="0.3">
      <c r="A15" s="4" t="s">
        <v>48</v>
      </c>
      <c r="B15">
        <v>2</v>
      </c>
      <c r="D15">
        <v>2</v>
      </c>
      <c r="H15" t="s">
        <v>52</v>
      </c>
    </row>
    <row r="16" spans="1:11" x14ac:dyDescent="0.3">
      <c r="A16" s="4" t="s">
        <v>41</v>
      </c>
      <c r="B16">
        <v>27</v>
      </c>
      <c r="C16">
        <v>23</v>
      </c>
      <c r="D16">
        <v>50</v>
      </c>
    </row>
    <row r="19" spans="1:4" x14ac:dyDescent="0.3">
      <c r="A19" s="3" t="s">
        <v>47</v>
      </c>
      <c r="B19" s="3" t="s">
        <v>42</v>
      </c>
    </row>
    <row r="20" spans="1:4" x14ac:dyDescent="0.3">
      <c r="A20" s="3" t="s">
        <v>40</v>
      </c>
      <c r="B20" t="s">
        <v>19</v>
      </c>
      <c r="C20" t="s">
        <v>32</v>
      </c>
      <c r="D20" t="s">
        <v>41</v>
      </c>
    </row>
    <row r="21" spans="1:4" x14ac:dyDescent="0.3">
      <c r="A21" s="4" t="s">
        <v>44</v>
      </c>
      <c r="B21">
        <v>11</v>
      </c>
      <c r="C21">
        <v>1</v>
      </c>
      <c r="D21">
        <v>12</v>
      </c>
    </row>
    <row r="22" spans="1:4" x14ac:dyDescent="0.3">
      <c r="A22" s="4" t="s">
        <v>45</v>
      </c>
      <c r="B22">
        <v>15</v>
      </c>
      <c r="C22">
        <v>18</v>
      </c>
      <c r="D22">
        <v>33</v>
      </c>
    </row>
    <row r="23" spans="1:4" x14ac:dyDescent="0.3">
      <c r="A23" s="4" t="s">
        <v>46</v>
      </c>
      <c r="B23">
        <v>1</v>
      </c>
      <c r="C23">
        <v>4</v>
      </c>
      <c r="D23">
        <v>5</v>
      </c>
    </row>
    <row r="24" spans="1:4" x14ac:dyDescent="0.3">
      <c r="A24" s="4" t="s">
        <v>41</v>
      </c>
      <c r="B24">
        <v>27</v>
      </c>
      <c r="C24">
        <v>23</v>
      </c>
      <c r="D24">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9F0B8-844D-4767-BE46-6B92B30ABB38}">
  <dimension ref="A1"/>
  <sheetViews>
    <sheetView showGridLines="0" tabSelected="1" topLeftCell="A11" zoomScale="83" zoomScaleNormal="83" workbookViewId="0">
      <selection activeCell="AC46" sqref="AC46"/>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F971A0-078E-4E2C-B452-A47B39B736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 of Bike</vt:lpstr>
      <vt:lpstr>Working Sheet</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R. Watalah</dc:creator>
  <cp:lastModifiedBy>Nathan R. Watalah</cp:lastModifiedBy>
  <dcterms:created xsi:type="dcterms:W3CDTF">2026-01-29T22:08:37Z</dcterms:created>
  <dcterms:modified xsi:type="dcterms:W3CDTF">2026-01-30T03:05:23Z</dcterms:modified>
</cp:coreProperties>
</file>